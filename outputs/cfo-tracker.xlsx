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2. Daily Vital Signs" sheetId="3" state="visible" r:id="rId5"/>
    <sheet name="3. Weekly - Earned vs Invoiced" sheetId="4" state="visible" r:id="rId6"/>
    <sheet name="4. Weekly - Scope Creep" sheetId="5" state="visible" r:id="rId7"/>
    <sheet name="5. Weekly - Retainer Risk" sheetId="6" state="visible" r:id="rId8"/>
    <sheet name="6. Monthly - Breakeven" sheetId="7" state="visible" r:id="rId9"/>
    <sheet name="7. Project Profitability" sheetId="8" state="visible" r:id="rId10"/>
    <sheet name="8. 13-Week Pipeline" sheetId="9" state="visible" r:id="rId11"/>
    <sheet name="9. 13-Week Foreca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<sst xmlns="http://schemas.openxmlformats.org/spreadsheetml/2006/main" count="168" uniqueCount="153">
  <si>
    <t xml:space="preserve">Solo Consultant CFO Tracker</t>
  </si>
  <si>
    <t xml:space="preserve">Companion workbook to outputs/cfo-survival-workflow.md</t>
  </si>
  <si>
    <t xml:space="preserve">How to use this file</t>
  </si>
  <si>
    <t xml:space="preserve">Blue text</t>
  </si>
  <si>
    <t xml:space="preserve">A cell you type into. Everything else is a formula — do not overwrite it.</t>
  </si>
  <si>
    <t xml:space="preserve">Yellow fill</t>
  </si>
  <si>
    <t xml:space="preserve">A key assumption. Update these monthly during your board package review.</t>
  </si>
  <si>
    <t xml:space="preserve">Green text</t>
  </si>
  <si>
    <t xml:space="preserve">A value pulled in from another sheet.</t>
  </si>
  <si>
    <t xml:space="preserve">Sheet order</t>
  </si>
  <si>
    <t xml:space="preserve">1. Assumptions</t>
  </si>
  <si>
    <t xml:space="preserve">Set once, review monthly. Drives your Minimum Viable Retainer Run-Rate (MVRR) and hourly-rate threshold.</t>
  </si>
  <si>
    <t xml:space="preserve">2. Daily Vital Signs</t>
  </si>
  <si>
    <t xml:space="preserve">Log bank balance + AR + today's billing/collections once a day. Takes under 5 minutes.</t>
  </si>
  <si>
    <t xml:space="preserve">3. Weekly - Earned vs Invoiced</t>
  </si>
  <si>
    <t xml:space="preserve">Friday Block 1. One row per active advisory project.</t>
  </si>
  <si>
    <t xml:space="preserve">4. Weekly - Scope Creep</t>
  </si>
  <si>
    <t xml:space="preserve">Friday Block 2. One row per active advisory project.</t>
  </si>
  <si>
    <t xml:space="preserve">5. Weekly - Retainer Risk</t>
  </si>
  <si>
    <t xml:space="preserve">Friday Block 3. One row per retainer. Feeds the 13-Week Forecast.</t>
  </si>
  <si>
    <t xml:space="preserve">6. Monthly - Breakeven</t>
  </si>
  <si>
    <t xml:space="preserve">First Monday of the month. Tells you the exact revenue you need to survive.</t>
  </si>
  <si>
    <t xml:space="preserve">7. Project Profitability</t>
  </si>
  <si>
    <t xml:space="preserve">First Monday of the month. True Effective Hourly Rate (TEHR) per engagement.</t>
  </si>
  <si>
    <t xml:space="preserve">8. 13-Week Pipeline</t>
  </si>
  <si>
    <t xml:space="preserve">List every open deal and retainer renewal with a probability weight.</t>
  </si>
  <si>
    <t xml:space="preserve">9. 13-Week Forecast</t>
  </si>
  <si>
    <t xml:space="preserve">Rolls the pipeline into a week-by-week cash forecast: Floor / Base / Best Case.</t>
  </si>
  <si>
    <t xml:space="preserve">Rule</t>
  </si>
  <si>
    <t xml:space="preserve">Every red flag in this workbook has a same-week action attached in the workflow doc. A number you check but don't act on is just anxiety with extra steps.</t>
  </si>
  <si>
    <t xml:space="preserve">Assumptions — Update Monthly</t>
  </si>
  <si>
    <t xml:space="preserve">Input</t>
  </si>
  <si>
    <t xml:space="preserve">Value</t>
  </si>
  <si>
    <t xml:space="preserve">Notes</t>
  </si>
  <si>
    <t xml:space="preserve">Fixed Monthly Overhead ($)</t>
  </si>
  <si>
    <t xml:space="preserve">Software, insurance, coworking, retained subcontractors, accounting fees — paid whether or not you close a deal.</t>
  </si>
  <si>
    <t xml:space="preserve">Minimum Personal Draw ($/month)</t>
  </si>
  <si>
    <t xml:space="preserve">Your survival number, not your ideal salary.</t>
  </si>
  <si>
    <t xml:space="preserve">Monthly Debt Service ($)</t>
  </si>
  <si>
    <t xml:space="preserve">Loan / credit line payments.</t>
  </si>
  <si>
    <t xml:space="preserve">Variable Cost % of Revenue</t>
  </si>
  <si>
    <t xml:space="preserve">Payment processing, referral fees, per-project subcontractor delivery cost as a % of revenue.</t>
  </si>
  <si>
    <t xml:space="preserve">Realistic Monthly Billable Hours</t>
  </si>
  <si>
    <t xml:space="preserve">Hours you can actually deliver in a month, after admin and sales time.</t>
  </si>
  <si>
    <t xml:space="preserve">Calculated — Formula A: Minimum Viable Retainer Run-Rate (MVRR)</t>
  </si>
  <si>
    <t xml:space="preserve">MVRR = (Overhead + Draw + Debt) ÷ (1 − Variable Cost %)</t>
  </si>
  <si>
    <t xml:space="preserve">Calculated — Minimum Viable Hourly Rate &amp; TEHR Threshold</t>
  </si>
  <si>
    <t xml:space="preserve">Minimum Viable Hourly Rate = MVRR ÷ Realistic Monthly Billable Hours</t>
  </si>
  <si>
    <t xml:space="preserve">TEHR Red-Flag Threshold (1.5x Minimum Viable Hourly Rate)</t>
  </si>
  <si>
    <t xml:space="preserve">Any project with True Effective Hourly Rate below this is a pricing problem — see sheet 7.</t>
  </si>
  <si>
    <t xml:space="preserve">Daily 5-Minute Vital Sign Check</t>
  </si>
  <si>
    <t xml:space="preserve">Log this every morning before client work. Under 5 minutes.</t>
  </si>
  <si>
    <t xml:space="preserve">Date</t>
  </si>
  <si>
    <t xml:space="preserve">Bank Balance</t>
  </si>
  <si>
    <t xml:space="preserve">Cash Change</t>
  </si>
  <si>
    <t xml:space="preserve">Trailing 30-Day Avg Daily Burn</t>
  </si>
  <si>
    <t xml:space="preserve">Cash Runway (Days)</t>
  </si>
  <si>
    <t xml:space="preserve">AR 0-30</t>
  </si>
  <si>
    <t xml:space="preserve">AR 31-60</t>
  </si>
  <si>
    <t xml:space="preserve">AR 61+</t>
  </si>
  <si>
    <t xml:space="preserve">Total AR</t>
  </si>
  <si>
    <t xml:space="preserve">Billed Today</t>
  </si>
  <si>
    <t xml:space="preserve">Collected Today</t>
  </si>
  <si>
    <t xml:space="preserve">Revenue Realization %</t>
  </si>
  <si>
    <t xml:space="preserve">Red-zone triggers: Runway &lt; 60 days  |  Any invoice crosses into 31-60 without a follow-up  |  Realization &lt; 70% for 3+ consecutive days</t>
  </si>
  <si>
    <t xml:space="preserve">Friday Block 1 — Earned vs. Invoiced Revenue</t>
  </si>
  <si>
    <t xml:space="preserve">One row per active advisory project. Update every Friday.</t>
  </si>
  <si>
    <t xml:space="preserve">Project</t>
  </si>
  <si>
    <t xml:space="preserve">Contract Value</t>
  </si>
  <si>
    <t xml:space="preserve">Total Scoped Hours</t>
  </si>
  <si>
    <t xml:space="preserve">Hours Delivered to Date</t>
  </si>
  <si>
    <t xml:space="preserve">% Complete</t>
  </si>
  <si>
    <t xml:space="preserve">Earned Revenue</t>
  </si>
  <si>
    <t xml:space="preserve">Invoiced Revenue</t>
  </si>
  <si>
    <t xml:space="preserve">Gap (Earned − Invoiced)</t>
  </si>
  <si>
    <t xml:space="preserve">Flag</t>
  </si>
  <si>
    <t xml:space="preserve">Acme Corp — Strategy Advisory</t>
  </si>
  <si>
    <t xml:space="preserve">Friday Block 2 — Scope Creep Audit</t>
  </si>
  <si>
    <t xml:space="preserve">One row per active advisory project. Timeline elapsed, not % complete — catches drift early.</t>
  </si>
  <si>
    <t xml:space="preserve">Total Budgeted Hours</t>
  </si>
  <si>
    <t xml:space="preserve">Timeline Elapsed %</t>
  </si>
  <si>
    <t xml:space="preserve">Budgeted Hours to Date</t>
  </si>
  <si>
    <t xml:space="preserve">Actual Hours Logged</t>
  </si>
  <si>
    <t xml:space="preserve">Variance %</t>
  </si>
  <si>
    <t xml:space="preserve">Friday Block 3 — Retainer Renewal Risk</t>
  </si>
  <si>
    <t xml:space="preserve">Score each signal Green / Yellow / Red every Friday.</t>
  </si>
  <si>
    <t xml:space="preserve">Retainer</t>
  </si>
  <si>
    <t xml:space="preserve">Monthly Value</t>
  </si>
  <si>
    <t xml:space="preserve">Renewal Date</t>
  </si>
  <si>
    <t xml:space="preserve">Responsiveness</t>
  </si>
  <si>
    <t xml:space="preserve">Usage</t>
  </si>
  <si>
    <t xml:space="preserve">Renewal Conversation</t>
  </si>
  <si>
    <t xml:space="preserve">Risk Score</t>
  </si>
  <si>
    <t xml:space="preserve">Renewal Probability</t>
  </si>
  <si>
    <t xml:space="preserve">This Week's Action</t>
  </si>
  <si>
    <t xml:space="preserve">Beta Industries — Monthly Advisory</t>
  </si>
  <si>
    <t xml:space="preserve">Yellow</t>
  </si>
  <si>
    <t xml:space="preserve">Green</t>
  </si>
  <si>
    <t xml:space="preserve">Monthly Board Slide 4 — Breakeven Analysis</t>
  </si>
  <si>
    <t xml:space="preserve">Run the first Monday of every month.</t>
  </si>
  <si>
    <t xml:space="preserve">Formula: Breakeven Revenue = Total Fixed Costs ÷ Contribution Margin %</t>
  </si>
  <si>
    <t xml:space="preserve">Month</t>
  </si>
  <si>
    <t xml:space="preserve">Total Fixed Costs</t>
  </si>
  <si>
    <t xml:space="preserve">Revenue</t>
  </si>
  <si>
    <t xml:space="preserve">Variable Costs</t>
  </si>
  <si>
    <t xml:space="preserve">Contribution Margin %</t>
  </si>
  <si>
    <t xml:space="preserve">Breakeven Revenue</t>
  </si>
  <si>
    <t xml:space="preserve">Read it:</t>
  </si>
  <si>
    <t xml:space="preserve">Revenue ≥ Breakeven but reserves still eroding → Contribution Margin too thin → pricing problem.</t>
  </si>
  <si>
    <t xml:space="preserve">Revenue consistently below Breakeven → not enough deals/cohorts closing → volume problem.</t>
  </si>
  <si>
    <t xml:space="preserve">Both below target → fix volume first; a price increase on too little pipeline won't save you.</t>
  </si>
  <si>
    <t xml:space="preserve">Monthly Board Slide 3 — Project Profitability (TEHR)</t>
  </si>
  <si>
    <t xml:space="preserve">Formula B: True Effective Hourly Rate = Fee Collected ÷ (Delivery + Admin + Sales + Rework Hours)</t>
  </si>
  <si>
    <t xml:space="preserve">Fee Collected</t>
  </si>
  <si>
    <t xml:space="preserve">Delivery Hrs</t>
  </si>
  <si>
    <t xml:space="preserve">Admin Hrs</t>
  </si>
  <si>
    <t xml:space="preserve">Sales/Proposal Hrs</t>
  </si>
  <si>
    <t xml:space="preserve">Rework Hrs</t>
  </si>
  <si>
    <t xml:space="preserve">Total Hours</t>
  </si>
  <si>
    <t xml:space="preserve">TEHR</t>
  </si>
  <si>
    <t xml:space="preserve">13-Week Forecast — Pipeline &amp; Renewals</t>
  </si>
  <si>
    <t xml:space="preserve">List every open advisory deal and every retainer renewal falling inside the next 13 weeks.</t>
  </si>
  <si>
    <t xml:space="preserve">Stage Probability Table</t>
  </si>
  <si>
    <t xml:space="preserve">Stage</t>
  </si>
  <si>
    <t xml:space="preserve">Probability</t>
  </si>
  <si>
    <t xml:space="preserve">Discovery call held</t>
  </si>
  <si>
    <t xml:space="preserve">Proposal sent</t>
  </si>
  <si>
    <t xml:space="preserve">Verbal commitment</t>
  </si>
  <si>
    <t xml:space="preserve">Contract signed</t>
  </si>
  <si>
    <t xml:space="preserve">Advisory Pipeline (weighted by stage)</t>
  </si>
  <si>
    <t xml:space="preserve">Deal Name</t>
  </si>
  <si>
    <t xml:space="preserve">Deal Value</t>
  </si>
  <si>
    <t xml:space="preserve">Weighted Value</t>
  </si>
  <si>
    <t xml:space="preserve">Expected Cash Week (1-13)</t>
  </si>
  <si>
    <t xml:space="preserve">New Prospect — Training Cohort Q1</t>
  </si>
  <si>
    <t xml:space="preserve">Retainer Renewals (pulled from sheet 5, weighted by renewal probability)</t>
  </si>
  <si>
    <t xml:space="preserve">Rolling 13-Week Cash Forecast</t>
  </si>
  <si>
    <t xml:space="preserve">Rebuild every Friday. Floor = confirmed only. Base = weighted. Best = pipeline at 100%.</t>
  </si>
  <si>
    <t xml:space="preserve">Starting Cash Balance</t>
  </si>
  <si>
    <t xml:space="preserve">Starting Cash Balance ($)</t>
  </si>
  <si>
    <t xml:space="preserve">4-Week Cash Floor Alert Threshold (4x Fixed Costs)</t>
  </si>
  <si>
    <t xml:space="preserve">Week</t>
  </si>
  <si>
    <t xml:space="preserve">Week Start</t>
  </si>
  <si>
    <t xml:space="preserve">Confirmed Inflow</t>
  </si>
  <si>
    <t xml:space="preserve">Confirmed Outflow</t>
  </si>
  <si>
    <t xml:space="preserve">Pipeline Weighted Inflow</t>
  </si>
  <si>
    <t xml:space="preserve">Retainer Weighted Inflow</t>
  </si>
  <si>
    <t xml:space="preserve">Best-Case Inflow (100%)</t>
  </si>
  <si>
    <t xml:space="preserve">Floor Cash Balance</t>
  </si>
  <si>
    <t xml:space="preserve">Base (Weighted) Cash Balance</t>
  </si>
  <si>
    <t xml:space="preserve">Best-Case Cash Balance</t>
  </si>
  <si>
    <t xml:space="preserve">Trigger:</t>
  </si>
  <si>
    <t xml:space="preserve">If Base (Weighted) Cash Balance dips below the 4-Week Alert Threshold at any point above, act now: push AR collection, intensify pipeline activity, or delay a discretionary expense.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</si>
</sst>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#,##0"/>
    <numFmt numFmtId="168" formatCode="yyyy\-mm\-dd"/>
    <numFmt numFmtId="169" formatCode="#,##0&quot; days&quot;"/>
    <numFmt numFmtId="170" formatCode="#,##0.0"/>
    <numFmt numFmtId="171" formatCode="mmm\-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28.3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5" t="s">
        <v>18</v>
      </c>
      <c r="B14" s="4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5" t="s">
        <v>22</v>
      </c>
      <c r="B16" s="4" t="s">
        <v>23</v>
      </c>
    </row>
    <row r="17" customFormat="false" ht="15" hidden="false" customHeight="false" outlineLevel="0" collapsed="false">
      <c r="A17" s="5" t="s">
        <v>24</v>
      </c>
      <c r="B17" s="4" t="s">
        <v>25</v>
      </c>
    </row>
    <row r="18" customFormat="false" ht="15" hidden="false" customHeight="false" outlineLevel="0" collapsed="false">
      <c r="A18" s="5" t="s">
        <v>26</v>
      </c>
      <c r="B18" s="4" t="s">
        <v>27</v>
      </c>
    </row>
    <row r="19" customFormat="false" ht="15" hidden="false" customHeight="false" outlineLevel="0" collapsed="false">
      <c r="A19" s="5"/>
      <c r="B19" s="4"/>
    </row>
    <row r="20" customFormat="false" ht="26.85" hidden="false" customHeight="false" outlineLevel="0" collapsed="false">
      <c r="A20" s="5" t="s">
        <v>28</v>
      </c>
      <c r="B20" s="6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30</v>
      </c>
      <c r="B1" s="1"/>
      <c r="C1" s="1"/>
    </row>
    <row r="3" customFormat="false" ht="15" hidden="false" customHeight="false" outlineLevel="0" collapsed="false">
      <c r="A3" s="7" t="s">
        <v>31</v>
      </c>
      <c r="B3" s="7" t="s">
        <v>32</v>
      </c>
      <c r="C3" s="7" t="s">
        <v>33</v>
      </c>
    </row>
    <row r="4" customFormat="false" ht="22.35" hidden="false" customHeight="false" outlineLevel="0" collapsed="false">
      <c r="A4" s="8" t="s">
        <v>34</v>
      </c>
      <c r="B4" s="9" t="n">
        <v>3500</v>
      </c>
      <c r="C4" s="10" t="s">
        <v>35</v>
      </c>
    </row>
    <row r="5" customFormat="false" ht="15" hidden="false" customHeight="false" outlineLevel="0" collapsed="false">
      <c r="A5" s="8" t="s">
        <v>36</v>
      </c>
      <c r="B5" s="9" t="n">
        <v>6000</v>
      </c>
      <c r="C5" s="10" t="s">
        <v>37</v>
      </c>
    </row>
    <row r="6" customFormat="false" ht="15" hidden="false" customHeight="false" outlineLevel="0" collapsed="false">
      <c r="A6" s="8" t="s">
        <v>38</v>
      </c>
      <c r="B6" s="9" t="n">
        <v>500</v>
      </c>
      <c r="C6" s="10" t="s">
        <v>39</v>
      </c>
    </row>
    <row r="7" customFormat="false" ht="15" hidden="false" customHeight="false" outlineLevel="0" collapsed="false">
      <c r="A7" s="8" t="s">
        <v>40</v>
      </c>
      <c r="B7" s="11" t="n">
        <v>0.08</v>
      </c>
      <c r="C7" s="10" t="s">
        <v>41</v>
      </c>
    </row>
    <row r="8" customFormat="false" ht="15" hidden="false" customHeight="false" outlineLevel="0" collapsed="false">
      <c r="A8" s="8" t="s">
        <v>42</v>
      </c>
      <c r="B8" s="12" t="n">
        <v>80</v>
      </c>
      <c r="C8" s="10" t="s">
        <v>43</v>
      </c>
    </row>
    <row r="10" customFormat="false" ht="15" hidden="false" customHeight="false" outlineLevel="0" collapsed="false">
      <c r="A10" s="13" t="s">
        <v>44</v>
      </c>
      <c r="B10" s="13"/>
      <c r="C10" s="13"/>
    </row>
    <row r="11" customFormat="false" ht="15" hidden="false" customHeight="false" outlineLevel="0" collapsed="false">
      <c r="A11" s="8" t="s">
        <v>45</v>
      </c>
      <c r="B11" s="14" t="n">
        <f aca="false">(B4+B5+B6)/(1-B7)</f>
        <v>10869.5652173913</v>
      </c>
      <c r="C11" s="15"/>
    </row>
    <row r="13" customFormat="false" ht="15" hidden="false" customHeight="false" outlineLevel="0" collapsed="false">
      <c r="A13" s="13" t="s">
        <v>46</v>
      </c>
      <c r="B13" s="13"/>
      <c r="C13" s="13"/>
    </row>
    <row r="14" customFormat="false" ht="15" hidden="false" customHeight="false" outlineLevel="0" collapsed="false">
      <c r="A14" s="8" t="s">
        <v>47</v>
      </c>
      <c r="B14" s="14" t="n">
        <f aca="false">B11/B8</f>
        <v>135.869565217391</v>
      </c>
      <c r="C14" s="15"/>
    </row>
    <row r="15" customFormat="false" ht="15" hidden="false" customHeight="false" outlineLevel="0" collapsed="false">
      <c r="A15" s="8" t="s">
        <v>48</v>
      </c>
      <c r="B15" s="14" t="n">
        <f aca="false">B14*1.5</f>
        <v>203.804347826087</v>
      </c>
      <c r="C15" s="10" t="s">
        <v>49</v>
      </c>
    </row>
  </sheetData>
  <mergeCells count="3">
    <mergeCell ref="A1:C1"/>
    <mergeCell ref="A10:C10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9" min="6" style="0" width="12"/>
    <col collapsed="false" customWidth="true" hidden="false" outlineLevel="0" max="11" min="10" style="0" width="13"/>
    <col collapsed="false" customWidth="true" hidden="false" outlineLevel="0" max="12" min="12" style="0" width="15"/>
  </cols>
  <sheetData>
    <row r="1" customFormat="false" ht="19.7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51</v>
      </c>
    </row>
    <row r="4" customFormat="false" ht="26.85" hidden="false" customHeight="false" outlineLevel="0" collapsed="false">
      <c r="A4" s="7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</row>
    <row r="5" customFormat="false" ht="15" hidden="false" customHeight="false" outlineLevel="0" collapsed="false">
      <c r="A5" s="16" t="n">
        <v>46265</v>
      </c>
      <c r="B5" s="17" t="n">
        <v>42000</v>
      </c>
      <c r="C5" s="15"/>
      <c r="D5" s="18" t="str">
        <f aca="false">IFERROR(-AVERAGE(C5:C5),"-")</f>
        <v>-</v>
      </c>
      <c r="E5" s="19" t="str">
        <f aca="false">IF(OR(B5="",D5="-",D5&lt;=0),"-",B5/D5)</f>
        <v>-</v>
      </c>
      <c r="F5" s="17" t="n">
        <v>1200</v>
      </c>
      <c r="G5" s="17" t="n">
        <v>400</v>
      </c>
      <c r="H5" s="17" t="n">
        <v>0</v>
      </c>
      <c r="I5" s="18" t="n">
        <f aca="false">SUM(F5:H5)</f>
        <v>1600</v>
      </c>
      <c r="J5" s="17" t="n">
        <v>1500</v>
      </c>
      <c r="K5" s="17" t="n">
        <v>1100</v>
      </c>
      <c r="L5" s="20" t="n">
        <f aca="false">IFERROR(K5/J5,"-")</f>
        <v>0.733333333333333</v>
      </c>
    </row>
    <row r="6" customFormat="false" ht="15" hidden="false" customHeight="false" outlineLevel="0" collapsed="false">
      <c r="A6" s="21" t="n">
        <f aca="false">A5+1</f>
        <v>46266</v>
      </c>
      <c r="B6" s="17"/>
      <c r="C6" s="18" t="str">
        <f aca="false">IF(OR(B6="",B5=""),"",B6-B5)</f>
        <v/>
      </c>
      <c r="D6" s="18" t="str">
        <f aca="false">IFERROR(-AVERAGE(C5:C6),"-")</f>
        <v>-</v>
      </c>
      <c r="E6" s="19" t="str">
        <f aca="false">IF(OR(B6="",D6="-",D6&lt;=0),"-",B6/D6)</f>
        <v>-</v>
      </c>
      <c r="F6" s="17"/>
      <c r="G6" s="17"/>
      <c r="H6" s="17"/>
      <c r="I6" s="18" t="n">
        <f aca="false">SUM(F6:H6)</f>
        <v>0</v>
      </c>
      <c r="J6" s="17"/>
      <c r="K6" s="17"/>
      <c r="L6" s="20" t="str">
        <f aca="false">IFERROR(K6/J6,"-")</f>
        <v>-</v>
      </c>
    </row>
    <row r="7" customFormat="false" ht="15" hidden="false" customHeight="false" outlineLevel="0" collapsed="false">
      <c r="A7" s="21" t="n">
        <f aca="false">A6+1</f>
        <v>46267</v>
      </c>
      <c r="B7" s="17"/>
      <c r="C7" s="18" t="str">
        <f aca="false">IF(OR(B7="",B6=""),"",B7-B6)</f>
        <v/>
      </c>
      <c r="D7" s="18" t="str">
        <f aca="false">IFERROR(-AVERAGE(C5:C7),"-")</f>
        <v>-</v>
      </c>
      <c r="E7" s="19" t="str">
        <f aca="false">IF(OR(B7="",D7="-",D7&lt;=0),"-",B7/D7)</f>
        <v>-</v>
      </c>
      <c r="F7" s="17"/>
      <c r="G7" s="17"/>
      <c r="H7" s="17"/>
      <c r="I7" s="18" t="n">
        <f aca="false">SUM(F7:H7)</f>
        <v>0</v>
      </c>
      <c r="J7" s="17"/>
      <c r="K7" s="17"/>
      <c r="L7" s="20" t="str">
        <f aca="false">IFERROR(K7/J7,"-")</f>
        <v>-</v>
      </c>
    </row>
    <row r="8" customFormat="false" ht="15" hidden="false" customHeight="false" outlineLevel="0" collapsed="false">
      <c r="A8" s="21" t="n">
        <f aca="false">A7+1</f>
        <v>46268</v>
      </c>
      <c r="B8" s="17"/>
      <c r="C8" s="18" t="str">
        <f aca="false">IF(OR(B8="",B7=""),"",B8-B7)</f>
        <v/>
      </c>
      <c r="D8" s="18" t="str">
        <f aca="false">IFERROR(-AVERAGE(C5:C8),"-")</f>
        <v>-</v>
      </c>
      <c r="E8" s="19" t="str">
        <f aca="false">IF(OR(B8="",D8="-",D8&lt;=0),"-",B8/D8)</f>
        <v>-</v>
      </c>
      <c r="F8" s="17"/>
      <c r="G8" s="17"/>
      <c r="H8" s="17"/>
      <c r="I8" s="18" t="n">
        <f aca="false">SUM(F8:H8)</f>
        <v>0</v>
      </c>
      <c r="J8" s="17"/>
      <c r="K8" s="17"/>
      <c r="L8" s="20" t="str">
        <f aca="false">IFERROR(K8/J8,"-")</f>
        <v>-</v>
      </c>
    </row>
    <row r="9" customFormat="false" ht="15" hidden="false" customHeight="false" outlineLevel="0" collapsed="false">
      <c r="A9" s="21" t="n">
        <f aca="false">A8+1</f>
        <v>46269</v>
      </c>
      <c r="B9" s="17"/>
      <c r="C9" s="18" t="str">
        <f aca="false">IF(OR(B9="",B8=""),"",B9-B8)</f>
        <v/>
      </c>
      <c r="D9" s="18" t="str">
        <f aca="false">IFERROR(-AVERAGE(C5:C9),"-")</f>
        <v>-</v>
      </c>
      <c r="E9" s="19" t="str">
        <f aca="false">IF(OR(B9="",D9="-",D9&lt;=0),"-",B9/D9)</f>
        <v>-</v>
      </c>
      <c r="F9" s="17"/>
      <c r="G9" s="17"/>
      <c r="H9" s="17"/>
      <c r="I9" s="18" t="n">
        <f aca="false">SUM(F9:H9)</f>
        <v>0</v>
      </c>
      <c r="J9" s="17"/>
      <c r="K9" s="17"/>
      <c r="L9" s="20" t="str">
        <f aca="false">IFERROR(K9/J9,"-")</f>
        <v>-</v>
      </c>
    </row>
    <row r="10" customFormat="false" ht="15" hidden="false" customHeight="false" outlineLevel="0" collapsed="false">
      <c r="A10" s="21" t="n">
        <f aca="false">A9+1</f>
        <v>46270</v>
      </c>
      <c r="B10" s="17"/>
      <c r="C10" s="18" t="str">
        <f aca="false">IF(OR(B10="",B9=""),"",B10-B9)</f>
        <v/>
      </c>
      <c r="D10" s="18" t="str">
        <f aca="false">IFERROR(-AVERAGE(C5:C10),"-")</f>
        <v>-</v>
      </c>
      <c r="E10" s="19" t="str">
        <f aca="false">IF(OR(B10="",D10="-",D10&lt;=0),"-",B10/D10)</f>
        <v>-</v>
      </c>
      <c r="F10" s="17"/>
      <c r="G10" s="17"/>
      <c r="H10" s="17"/>
      <c r="I10" s="18" t="n">
        <f aca="false">SUM(F10:H10)</f>
        <v>0</v>
      </c>
      <c r="J10" s="17"/>
      <c r="K10" s="17"/>
      <c r="L10" s="20" t="str">
        <f aca="false">IFERROR(K10/J10,"-")</f>
        <v>-</v>
      </c>
    </row>
    <row r="11" customFormat="false" ht="15" hidden="false" customHeight="false" outlineLevel="0" collapsed="false">
      <c r="A11" s="21" t="n">
        <f aca="false">A10+1</f>
        <v>46271</v>
      </c>
      <c r="B11" s="17"/>
      <c r="C11" s="18" t="str">
        <f aca="false">IF(OR(B11="",B10=""),"",B11-B10)</f>
        <v/>
      </c>
      <c r="D11" s="18" t="str">
        <f aca="false">IFERROR(-AVERAGE(C5:C11),"-")</f>
        <v>-</v>
      </c>
      <c r="E11" s="19" t="str">
        <f aca="false">IF(OR(B11="",D11="-",D11&lt;=0),"-",B11/D11)</f>
        <v>-</v>
      </c>
      <c r="F11" s="17"/>
      <c r="G11" s="17"/>
      <c r="H11" s="17"/>
      <c r="I11" s="18" t="n">
        <f aca="false">SUM(F11:H11)</f>
        <v>0</v>
      </c>
      <c r="J11" s="17"/>
      <c r="K11" s="17"/>
      <c r="L11" s="20" t="str">
        <f aca="false">IFERROR(K11/J11,"-")</f>
        <v>-</v>
      </c>
    </row>
    <row r="12" customFormat="false" ht="15" hidden="false" customHeight="false" outlineLevel="0" collapsed="false">
      <c r="A12" s="21" t="n">
        <f aca="false">A11+1</f>
        <v>46272</v>
      </c>
      <c r="B12" s="17"/>
      <c r="C12" s="18" t="str">
        <f aca="false">IF(OR(B12="",B11=""),"",B12-B11)</f>
        <v/>
      </c>
      <c r="D12" s="18" t="str">
        <f aca="false">IFERROR(-AVERAGE(C5:C12),"-")</f>
        <v>-</v>
      </c>
      <c r="E12" s="19" t="str">
        <f aca="false">IF(OR(B12="",D12="-",D12&lt;=0),"-",B12/D12)</f>
        <v>-</v>
      </c>
      <c r="F12" s="17"/>
      <c r="G12" s="17"/>
      <c r="H12" s="17"/>
      <c r="I12" s="18" t="n">
        <f aca="false">SUM(F12:H12)</f>
        <v>0</v>
      </c>
      <c r="J12" s="17"/>
      <c r="K12" s="17"/>
      <c r="L12" s="20" t="str">
        <f aca="false">IFERROR(K12/J12,"-")</f>
        <v>-</v>
      </c>
    </row>
    <row r="13" customFormat="false" ht="15" hidden="false" customHeight="false" outlineLevel="0" collapsed="false">
      <c r="A13" s="21" t="n">
        <f aca="false">A12+1</f>
        <v>46273</v>
      </c>
      <c r="B13" s="17"/>
      <c r="C13" s="18" t="str">
        <f aca="false">IF(OR(B13="",B12=""),"",B13-B12)</f>
        <v/>
      </c>
      <c r="D13" s="18" t="str">
        <f aca="false">IFERROR(-AVERAGE(C5:C13),"-")</f>
        <v>-</v>
      </c>
      <c r="E13" s="19" t="str">
        <f aca="false">IF(OR(B13="",D13="-",D13&lt;=0),"-",B13/D13)</f>
        <v>-</v>
      </c>
      <c r="F13" s="17"/>
      <c r="G13" s="17"/>
      <c r="H13" s="17"/>
      <c r="I13" s="18" t="n">
        <f aca="false">SUM(F13:H13)</f>
        <v>0</v>
      </c>
      <c r="J13" s="17"/>
      <c r="K13" s="17"/>
      <c r="L13" s="20" t="str">
        <f aca="false">IFERROR(K13/J13,"-")</f>
        <v>-</v>
      </c>
    </row>
    <row r="14" customFormat="false" ht="15" hidden="false" customHeight="false" outlineLevel="0" collapsed="false">
      <c r="A14" s="21" t="n">
        <f aca="false">A13+1</f>
        <v>46274</v>
      </c>
      <c r="B14" s="17"/>
      <c r="C14" s="18" t="str">
        <f aca="false">IF(OR(B14="",B13=""),"",B14-B13)</f>
        <v/>
      </c>
      <c r="D14" s="18" t="str">
        <f aca="false">IFERROR(-AVERAGE(C5:C14),"-")</f>
        <v>-</v>
      </c>
      <c r="E14" s="19" t="str">
        <f aca="false">IF(OR(B14="",D14="-",D14&lt;=0),"-",B14/D14)</f>
        <v>-</v>
      </c>
      <c r="F14" s="17"/>
      <c r="G14" s="17"/>
      <c r="H14" s="17"/>
      <c r="I14" s="18" t="n">
        <f aca="false">SUM(F14:H14)</f>
        <v>0</v>
      </c>
      <c r="J14" s="17"/>
      <c r="K14" s="17"/>
      <c r="L14" s="20" t="str">
        <f aca="false">IFERROR(K14/J14,"-")</f>
        <v>-</v>
      </c>
    </row>
    <row r="15" customFormat="false" ht="15" hidden="false" customHeight="false" outlineLevel="0" collapsed="false">
      <c r="A15" s="21" t="n">
        <f aca="false">A14+1</f>
        <v>46275</v>
      </c>
      <c r="B15" s="17"/>
      <c r="C15" s="18" t="str">
        <f aca="false">IF(OR(B15="",B14=""),"",B15-B14)</f>
        <v/>
      </c>
      <c r="D15" s="18" t="str">
        <f aca="false">IFERROR(-AVERAGE(C5:C15),"-")</f>
        <v>-</v>
      </c>
      <c r="E15" s="19" t="str">
        <f aca="false">IF(OR(B15="",D15="-",D15&lt;=0),"-",B15/D15)</f>
        <v>-</v>
      </c>
      <c r="F15" s="17"/>
      <c r="G15" s="17"/>
      <c r="H15" s="17"/>
      <c r="I15" s="18" t="n">
        <f aca="false">SUM(F15:H15)</f>
        <v>0</v>
      </c>
      <c r="J15" s="17"/>
      <c r="K15" s="17"/>
      <c r="L15" s="20" t="str">
        <f aca="false">IFERROR(K15/J15,"-")</f>
        <v>-</v>
      </c>
    </row>
    <row r="16" customFormat="false" ht="15" hidden="false" customHeight="false" outlineLevel="0" collapsed="false">
      <c r="A16" s="21" t="n">
        <f aca="false">A15+1</f>
        <v>46276</v>
      </c>
      <c r="B16" s="17"/>
      <c r="C16" s="18" t="str">
        <f aca="false">IF(OR(B16="",B15=""),"",B16-B15)</f>
        <v/>
      </c>
      <c r="D16" s="18" t="str">
        <f aca="false">IFERROR(-AVERAGE(C5:C16),"-")</f>
        <v>-</v>
      </c>
      <c r="E16" s="19" t="str">
        <f aca="false">IF(OR(B16="",D16="-",D16&lt;=0),"-",B16/D16)</f>
        <v>-</v>
      </c>
      <c r="F16" s="17"/>
      <c r="G16" s="17"/>
      <c r="H16" s="17"/>
      <c r="I16" s="18" t="n">
        <f aca="false">SUM(F16:H16)</f>
        <v>0</v>
      </c>
      <c r="J16" s="17"/>
      <c r="K16" s="17"/>
      <c r="L16" s="20" t="str">
        <f aca="false">IFERROR(K16/J16,"-")</f>
        <v>-</v>
      </c>
    </row>
    <row r="17" customFormat="false" ht="15" hidden="false" customHeight="false" outlineLevel="0" collapsed="false">
      <c r="A17" s="21" t="n">
        <f aca="false">A16+1</f>
        <v>46277</v>
      </c>
      <c r="B17" s="17"/>
      <c r="C17" s="18" t="str">
        <f aca="false">IF(OR(B17="",B16=""),"",B17-B16)</f>
        <v/>
      </c>
      <c r="D17" s="18" t="str">
        <f aca="false">IFERROR(-AVERAGE(C5:C17),"-")</f>
        <v>-</v>
      </c>
      <c r="E17" s="19" t="str">
        <f aca="false">IF(OR(B17="",D17="-",D17&lt;=0),"-",B17/D17)</f>
        <v>-</v>
      </c>
      <c r="F17" s="17"/>
      <c r="G17" s="17"/>
      <c r="H17" s="17"/>
      <c r="I17" s="18" t="n">
        <f aca="false">SUM(F17:H17)</f>
        <v>0</v>
      </c>
      <c r="J17" s="17"/>
      <c r="K17" s="17"/>
      <c r="L17" s="20" t="str">
        <f aca="false">IFERROR(K17/J17,"-")</f>
        <v>-</v>
      </c>
    </row>
    <row r="18" customFormat="false" ht="15" hidden="false" customHeight="false" outlineLevel="0" collapsed="false">
      <c r="A18" s="21" t="n">
        <f aca="false">A17+1</f>
        <v>46278</v>
      </c>
      <c r="B18" s="17"/>
      <c r="C18" s="18" t="str">
        <f aca="false">IF(OR(B18="",B17=""),"",B18-B17)</f>
        <v/>
      </c>
      <c r="D18" s="18" t="str">
        <f aca="false">IFERROR(-AVERAGE(C5:C18),"-")</f>
        <v>-</v>
      </c>
      <c r="E18" s="19" t="str">
        <f aca="false">IF(OR(B18="",D18="-",D18&lt;=0),"-",B18/D18)</f>
        <v>-</v>
      </c>
      <c r="F18" s="17"/>
      <c r="G18" s="17"/>
      <c r="H18" s="17"/>
      <c r="I18" s="18" t="n">
        <f aca="false">SUM(F18:H18)</f>
        <v>0</v>
      </c>
      <c r="J18" s="17"/>
      <c r="K18" s="17"/>
      <c r="L18" s="20" t="str">
        <f aca="false">IFERROR(K18/J18,"-")</f>
        <v>-</v>
      </c>
    </row>
    <row r="19" customFormat="false" ht="15" hidden="false" customHeight="false" outlineLevel="0" collapsed="false">
      <c r="A19" s="21" t="n">
        <f aca="false">A18+1</f>
        <v>46279</v>
      </c>
      <c r="B19" s="17"/>
      <c r="C19" s="18" t="str">
        <f aca="false">IF(OR(B19="",B18=""),"",B19-B18)</f>
        <v/>
      </c>
      <c r="D19" s="18" t="str">
        <f aca="false">IFERROR(-AVERAGE(C5:C19),"-")</f>
        <v>-</v>
      </c>
      <c r="E19" s="19" t="str">
        <f aca="false">IF(OR(B19="",D19="-",D19&lt;=0),"-",B19/D19)</f>
        <v>-</v>
      </c>
      <c r="F19" s="17"/>
      <c r="G19" s="17"/>
      <c r="H19" s="17"/>
      <c r="I19" s="18" t="n">
        <f aca="false">SUM(F19:H19)</f>
        <v>0</v>
      </c>
      <c r="J19" s="17"/>
      <c r="K19" s="17"/>
      <c r="L19" s="20" t="str">
        <f aca="false">IFERROR(K19/J19,"-")</f>
        <v>-</v>
      </c>
    </row>
    <row r="20" customFormat="false" ht="15" hidden="false" customHeight="false" outlineLevel="0" collapsed="false">
      <c r="A20" s="21" t="n">
        <f aca="false">A19+1</f>
        <v>46280</v>
      </c>
      <c r="B20" s="17"/>
      <c r="C20" s="18" t="str">
        <f aca="false">IF(OR(B20="",B19=""),"",B20-B19)</f>
        <v/>
      </c>
      <c r="D20" s="18" t="str">
        <f aca="false">IFERROR(-AVERAGE(C5:C20),"-")</f>
        <v>-</v>
      </c>
      <c r="E20" s="19" t="str">
        <f aca="false">IF(OR(B20="",D20="-",D20&lt;=0),"-",B20/D20)</f>
        <v>-</v>
      </c>
      <c r="F20" s="17"/>
      <c r="G20" s="17"/>
      <c r="H20" s="17"/>
      <c r="I20" s="18" t="n">
        <f aca="false">SUM(F20:H20)</f>
        <v>0</v>
      </c>
      <c r="J20" s="17"/>
      <c r="K20" s="17"/>
      <c r="L20" s="20" t="str">
        <f aca="false">IFERROR(K20/J20,"-")</f>
        <v>-</v>
      </c>
    </row>
    <row r="21" customFormat="false" ht="15" hidden="false" customHeight="false" outlineLevel="0" collapsed="false">
      <c r="A21" s="21" t="n">
        <f aca="false">A20+1</f>
        <v>46281</v>
      </c>
      <c r="B21" s="17"/>
      <c r="C21" s="18" t="str">
        <f aca="false">IF(OR(B21="",B20=""),"",B21-B20)</f>
        <v/>
      </c>
      <c r="D21" s="18" t="str">
        <f aca="false">IFERROR(-AVERAGE(C5:C21),"-")</f>
        <v>-</v>
      </c>
      <c r="E21" s="19" t="str">
        <f aca="false">IF(OR(B21="",D21="-",D21&lt;=0),"-",B21/D21)</f>
        <v>-</v>
      </c>
      <c r="F21" s="17"/>
      <c r="G21" s="17"/>
      <c r="H21" s="17"/>
      <c r="I21" s="18" t="n">
        <f aca="false">SUM(F21:H21)</f>
        <v>0</v>
      </c>
      <c r="J21" s="17"/>
      <c r="K21" s="17"/>
      <c r="L21" s="20" t="str">
        <f aca="false">IFERROR(K21/J21,"-")</f>
        <v>-</v>
      </c>
    </row>
    <row r="22" customFormat="false" ht="15" hidden="false" customHeight="false" outlineLevel="0" collapsed="false">
      <c r="A22" s="21" t="n">
        <f aca="false">A21+1</f>
        <v>46282</v>
      </c>
      <c r="B22" s="17"/>
      <c r="C22" s="18" t="str">
        <f aca="false">IF(OR(B22="",B21=""),"",B22-B21)</f>
        <v/>
      </c>
      <c r="D22" s="18" t="str">
        <f aca="false">IFERROR(-AVERAGE(C5:C22),"-")</f>
        <v>-</v>
      </c>
      <c r="E22" s="19" t="str">
        <f aca="false">IF(OR(B22="",D22="-",D22&lt;=0),"-",B22/D22)</f>
        <v>-</v>
      </c>
      <c r="F22" s="17"/>
      <c r="G22" s="17"/>
      <c r="H22" s="17"/>
      <c r="I22" s="18" t="n">
        <f aca="false">SUM(F22:H22)</f>
        <v>0</v>
      </c>
      <c r="J22" s="17"/>
      <c r="K22" s="17"/>
      <c r="L22" s="20" t="str">
        <f aca="false">IFERROR(K22/J22,"-")</f>
        <v>-</v>
      </c>
    </row>
    <row r="23" customFormat="false" ht="15" hidden="false" customHeight="false" outlineLevel="0" collapsed="false">
      <c r="A23" s="21" t="n">
        <f aca="false">A22+1</f>
        <v>46283</v>
      </c>
      <c r="B23" s="17"/>
      <c r="C23" s="18" t="str">
        <f aca="false">IF(OR(B23="",B22=""),"",B23-B22)</f>
        <v/>
      </c>
      <c r="D23" s="18" t="str">
        <f aca="false">IFERROR(-AVERAGE(C5:C23),"-")</f>
        <v>-</v>
      </c>
      <c r="E23" s="19" t="str">
        <f aca="false">IF(OR(B23="",D23="-",D23&lt;=0),"-",B23/D23)</f>
        <v>-</v>
      </c>
      <c r="F23" s="17"/>
      <c r="G23" s="17"/>
      <c r="H23" s="17"/>
      <c r="I23" s="18" t="n">
        <f aca="false">SUM(F23:H23)</f>
        <v>0</v>
      </c>
      <c r="J23" s="17"/>
      <c r="K23" s="17"/>
      <c r="L23" s="20" t="str">
        <f aca="false">IFERROR(K23/J23,"-")</f>
        <v>-</v>
      </c>
    </row>
    <row r="24" customFormat="false" ht="15" hidden="false" customHeight="false" outlineLevel="0" collapsed="false">
      <c r="A24" s="21" t="n">
        <f aca="false">A23+1</f>
        <v>46284</v>
      </c>
      <c r="B24" s="17"/>
      <c r="C24" s="18" t="str">
        <f aca="false">IF(OR(B24="",B23=""),"",B24-B23)</f>
        <v/>
      </c>
      <c r="D24" s="18" t="str">
        <f aca="false">IFERROR(-AVERAGE(C5:C24),"-")</f>
        <v>-</v>
      </c>
      <c r="E24" s="19" t="str">
        <f aca="false">IF(OR(B24="",D24="-",D24&lt;=0),"-",B24/D24)</f>
        <v>-</v>
      </c>
      <c r="F24" s="17"/>
      <c r="G24" s="17"/>
      <c r="H24" s="17"/>
      <c r="I24" s="18" t="n">
        <f aca="false">SUM(F24:H24)</f>
        <v>0</v>
      </c>
      <c r="J24" s="17"/>
      <c r="K24" s="17"/>
      <c r="L24" s="20" t="str">
        <f aca="false">IFERROR(K24/J24,"-")</f>
        <v>-</v>
      </c>
    </row>
    <row r="25" customFormat="false" ht="15" hidden="false" customHeight="false" outlineLevel="0" collapsed="false">
      <c r="A25" s="21" t="n">
        <f aca="false">A24+1</f>
        <v>46285</v>
      </c>
      <c r="B25" s="17"/>
      <c r="C25" s="18" t="str">
        <f aca="false">IF(OR(B25="",B24=""),"",B25-B24)</f>
        <v/>
      </c>
      <c r="D25" s="18" t="str">
        <f aca="false">IFERROR(-AVERAGE(C5:C25),"-")</f>
        <v>-</v>
      </c>
      <c r="E25" s="19" t="str">
        <f aca="false">IF(OR(B25="",D25="-",D25&lt;=0),"-",B25/D25)</f>
        <v>-</v>
      </c>
      <c r="F25" s="17"/>
      <c r="G25" s="17"/>
      <c r="H25" s="17"/>
      <c r="I25" s="18" t="n">
        <f aca="false">SUM(F25:H25)</f>
        <v>0</v>
      </c>
      <c r="J25" s="17"/>
      <c r="K25" s="17"/>
      <c r="L25" s="20" t="str">
        <f aca="false">IFERROR(K25/J25,"-")</f>
        <v>-</v>
      </c>
    </row>
    <row r="26" customFormat="false" ht="15" hidden="false" customHeight="false" outlineLevel="0" collapsed="false">
      <c r="A26" s="21" t="n">
        <f aca="false">A25+1</f>
        <v>46286</v>
      </c>
      <c r="B26" s="17"/>
      <c r="C26" s="18" t="str">
        <f aca="false">IF(OR(B26="",B25=""),"",B26-B25)</f>
        <v/>
      </c>
      <c r="D26" s="18" t="str">
        <f aca="false">IFERROR(-AVERAGE(C5:C26),"-")</f>
        <v>-</v>
      </c>
      <c r="E26" s="19" t="str">
        <f aca="false">IF(OR(B26="",D26="-",D26&lt;=0),"-",B26/D26)</f>
        <v>-</v>
      </c>
      <c r="F26" s="17"/>
      <c r="G26" s="17"/>
      <c r="H26" s="17"/>
      <c r="I26" s="18" t="n">
        <f aca="false">SUM(F26:H26)</f>
        <v>0</v>
      </c>
      <c r="J26" s="17"/>
      <c r="K26" s="17"/>
      <c r="L26" s="20" t="str">
        <f aca="false">IFERROR(K26/J26,"-")</f>
        <v>-</v>
      </c>
    </row>
    <row r="27" customFormat="false" ht="15" hidden="false" customHeight="false" outlineLevel="0" collapsed="false">
      <c r="A27" s="21" t="n">
        <f aca="false">A26+1</f>
        <v>46287</v>
      </c>
      <c r="B27" s="17"/>
      <c r="C27" s="18" t="str">
        <f aca="false">IF(OR(B27="",B26=""),"",B27-B26)</f>
        <v/>
      </c>
      <c r="D27" s="18" t="str">
        <f aca="false">IFERROR(-AVERAGE(C5:C27),"-")</f>
        <v>-</v>
      </c>
      <c r="E27" s="19" t="str">
        <f aca="false">IF(OR(B27="",D27="-",D27&lt;=0),"-",B27/D27)</f>
        <v>-</v>
      </c>
      <c r="F27" s="17"/>
      <c r="G27" s="17"/>
      <c r="H27" s="17"/>
      <c r="I27" s="18" t="n">
        <f aca="false">SUM(F27:H27)</f>
        <v>0</v>
      </c>
      <c r="J27" s="17"/>
      <c r="K27" s="17"/>
      <c r="L27" s="20" t="str">
        <f aca="false">IFERROR(K27/J27,"-")</f>
        <v>-</v>
      </c>
    </row>
    <row r="28" customFormat="false" ht="15" hidden="false" customHeight="false" outlineLevel="0" collapsed="false">
      <c r="A28" s="21" t="n">
        <f aca="false">A27+1</f>
        <v>46288</v>
      </c>
      <c r="B28" s="17"/>
      <c r="C28" s="18" t="str">
        <f aca="false">IF(OR(B28="",B27=""),"",B28-B27)</f>
        <v/>
      </c>
      <c r="D28" s="18" t="str">
        <f aca="false">IFERROR(-AVERAGE(C5:C28),"-")</f>
        <v>-</v>
      </c>
      <c r="E28" s="19" t="str">
        <f aca="false">IF(OR(B28="",D28="-",D28&lt;=0),"-",B28/D28)</f>
        <v>-</v>
      </c>
      <c r="F28" s="17"/>
      <c r="G28" s="17"/>
      <c r="H28" s="17"/>
      <c r="I28" s="18" t="n">
        <f aca="false">SUM(F28:H28)</f>
        <v>0</v>
      </c>
      <c r="J28" s="17"/>
      <c r="K28" s="17"/>
      <c r="L28" s="20" t="str">
        <f aca="false">IFERROR(K28/J28,"-")</f>
        <v>-</v>
      </c>
    </row>
    <row r="29" customFormat="false" ht="15" hidden="false" customHeight="false" outlineLevel="0" collapsed="false">
      <c r="A29" s="21" t="n">
        <f aca="false">A28+1</f>
        <v>46289</v>
      </c>
      <c r="B29" s="17"/>
      <c r="C29" s="18" t="str">
        <f aca="false">IF(OR(B29="",B28=""),"",B29-B28)</f>
        <v/>
      </c>
      <c r="D29" s="18" t="str">
        <f aca="false">IFERROR(-AVERAGE(C5:C29),"-")</f>
        <v>-</v>
      </c>
      <c r="E29" s="19" t="str">
        <f aca="false">IF(OR(B29="",D29="-",D29&lt;=0),"-",B29/D29)</f>
        <v>-</v>
      </c>
      <c r="F29" s="17"/>
      <c r="G29" s="17"/>
      <c r="H29" s="17"/>
      <c r="I29" s="18" t="n">
        <f aca="false">SUM(F29:H29)</f>
        <v>0</v>
      </c>
      <c r="J29" s="17"/>
      <c r="K29" s="17"/>
      <c r="L29" s="20" t="str">
        <f aca="false">IFERROR(K29/J29,"-")</f>
        <v>-</v>
      </c>
    </row>
    <row r="30" customFormat="false" ht="15" hidden="false" customHeight="false" outlineLevel="0" collapsed="false">
      <c r="A30" s="21" t="n">
        <f aca="false">A29+1</f>
        <v>46290</v>
      </c>
      <c r="B30" s="17"/>
      <c r="C30" s="18" t="str">
        <f aca="false">IF(OR(B30="",B29=""),"",B30-B29)</f>
        <v/>
      </c>
      <c r="D30" s="18" t="str">
        <f aca="false">IFERROR(-AVERAGE(C5:C30),"-")</f>
        <v>-</v>
      </c>
      <c r="E30" s="19" t="str">
        <f aca="false">IF(OR(B30="",D30="-",D30&lt;=0),"-",B30/D30)</f>
        <v>-</v>
      </c>
      <c r="F30" s="17"/>
      <c r="G30" s="17"/>
      <c r="H30" s="17"/>
      <c r="I30" s="18" t="n">
        <f aca="false">SUM(F30:H30)</f>
        <v>0</v>
      </c>
      <c r="J30" s="17"/>
      <c r="K30" s="17"/>
      <c r="L30" s="20" t="str">
        <f aca="false">IFERROR(K30/J30,"-")</f>
        <v>-</v>
      </c>
    </row>
    <row r="31" customFormat="false" ht="15" hidden="false" customHeight="false" outlineLevel="0" collapsed="false">
      <c r="A31" s="21" t="n">
        <f aca="false">A30+1</f>
        <v>46291</v>
      </c>
      <c r="B31" s="17"/>
      <c r="C31" s="18" t="str">
        <f aca="false">IF(OR(B31="",B30=""),"",B31-B30)</f>
        <v/>
      </c>
      <c r="D31" s="18" t="str">
        <f aca="false">IFERROR(-AVERAGE(C5:C31),"-")</f>
        <v>-</v>
      </c>
      <c r="E31" s="19" t="str">
        <f aca="false">IF(OR(B31="",D31="-",D31&lt;=0),"-",B31/D31)</f>
        <v>-</v>
      </c>
      <c r="F31" s="17"/>
      <c r="G31" s="17"/>
      <c r="H31" s="17"/>
      <c r="I31" s="18" t="n">
        <f aca="false">SUM(F31:H31)</f>
        <v>0</v>
      </c>
      <c r="J31" s="17"/>
      <c r="K31" s="17"/>
      <c r="L31" s="20" t="str">
        <f aca="false">IFERROR(K31/J31,"-")</f>
        <v>-</v>
      </c>
    </row>
    <row r="32" customFormat="false" ht="15" hidden="false" customHeight="false" outlineLevel="0" collapsed="false">
      <c r="A32" s="21" t="n">
        <f aca="false">A31+1</f>
        <v>46292</v>
      </c>
      <c r="B32" s="17"/>
      <c r="C32" s="18" t="str">
        <f aca="false">IF(OR(B32="",B31=""),"",B32-B31)</f>
        <v/>
      </c>
      <c r="D32" s="18" t="str">
        <f aca="false">IFERROR(-AVERAGE(C5:C32),"-")</f>
        <v>-</v>
      </c>
      <c r="E32" s="19" t="str">
        <f aca="false">IF(OR(B32="",D32="-",D32&lt;=0),"-",B32/D32)</f>
        <v>-</v>
      </c>
      <c r="F32" s="17"/>
      <c r="G32" s="17"/>
      <c r="H32" s="17"/>
      <c r="I32" s="18" t="n">
        <f aca="false">SUM(F32:H32)</f>
        <v>0</v>
      </c>
      <c r="J32" s="17"/>
      <c r="K32" s="17"/>
      <c r="L32" s="20" t="str">
        <f aca="false">IFERROR(K32/J32,"-")</f>
        <v>-</v>
      </c>
    </row>
    <row r="33" customFormat="false" ht="15" hidden="false" customHeight="false" outlineLevel="0" collapsed="false">
      <c r="A33" s="21" t="n">
        <f aca="false">A32+1</f>
        <v>46293</v>
      </c>
      <c r="B33" s="17"/>
      <c r="C33" s="18" t="str">
        <f aca="false">IF(OR(B33="",B32=""),"",B33-B32)</f>
        <v/>
      </c>
      <c r="D33" s="18" t="str">
        <f aca="false">IFERROR(-AVERAGE(C5:C33),"-")</f>
        <v>-</v>
      </c>
      <c r="E33" s="19" t="str">
        <f aca="false">IF(OR(B33="",D33="-",D33&lt;=0),"-",B33/D33)</f>
        <v>-</v>
      </c>
      <c r="F33" s="17"/>
      <c r="G33" s="17"/>
      <c r="H33" s="17"/>
      <c r="I33" s="18" t="n">
        <f aca="false">SUM(F33:H33)</f>
        <v>0</v>
      </c>
      <c r="J33" s="17"/>
      <c r="K33" s="17"/>
      <c r="L33" s="20" t="str">
        <f aca="false">IFERROR(K33/J33,"-")</f>
        <v>-</v>
      </c>
    </row>
    <row r="34" customFormat="false" ht="15" hidden="false" customHeight="false" outlineLevel="0" collapsed="false">
      <c r="A34" s="21" t="n">
        <f aca="false">A33+1</f>
        <v>46294</v>
      </c>
      <c r="B34" s="17"/>
      <c r="C34" s="18" t="str">
        <f aca="false">IF(OR(B34="",B33=""),"",B34-B33)</f>
        <v/>
      </c>
      <c r="D34" s="18" t="str">
        <f aca="false">IFERROR(-AVERAGE(C5:C34),"-")</f>
        <v>-</v>
      </c>
      <c r="E34" s="19" t="str">
        <f aca="false">IF(OR(B34="",D34="-",D34&lt;=0),"-",B34/D34)</f>
        <v>-</v>
      </c>
      <c r="F34" s="17"/>
      <c r="G34" s="17"/>
      <c r="H34" s="17"/>
      <c r="I34" s="18" t="n">
        <f aca="false">SUM(F34:H34)</f>
        <v>0</v>
      </c>
      <c r="J34" s="17"/>
      <c r="K34" s="17"/>
      <c r="L34" s="20" t="str">
        <f aca="false">IFERROR(K34/J34,"-")</f>
        <v>-</v>
      </c>
    </row>
    <row r="35" customFormat="false" ht="15" hidden="false" customHeight="false" outlineLevel="0" collapsed="false">
      <c r="A35" s="21" t="n">
        <f aca="false">A34+1</f>
        <v>46295</v>
      </c>
      <c r="B35" s="17"/>
      <c r="C35" s="18" t="str">
        <f aca="false">IF(OR(B35="",B34=""),"",B35-B34)</f>
        <v/>
      </c>
      <c r="D35" s="18" t="str">
        <f aca="false">IFERROR(-AVERAGE(C6:C35),"-")</f>
        <v>-</v>
      </c>
      <c r="E35" s="19" t="str">
        <f aca="false">IF(OR(B35="",D35="-",D35&lt;=0),"-",B35/D35)</f>
        <v>-</v>
      </c>
      <c r="F35" s="17"/>
      <c r="G35" s="17"/>
      <c r="H35" s="17"/>
      <c r="I35" s="18" t="n">
        <f aca="false">SUM(F35:H35)</f>
        <v>0</v>
      </c>
      <c r="J35" s="17"/>
      <c r="K35" s="17"/>
      <c r="L35" s="20" t="str">
        <f aca="false">IFERROR(K35/J35,"-")</f>
        <v>-</v>
      </c>
    </row>
    <row r="36" customFormat="false" ht="15" hidden="false" customHeight="false" outlineLevel="0" collapsed="false">
      <c r="A36" s="21" t="n">
        <f aca="false">A35+1</f>
        <v>46296</v>
      </c>
      <c r="B36" s="17"/>
      <c r="C36" s="18" t="str">
        <f aca="false">IF(OR(B36="",B35=""),"",B36-B35)</f>
        <v/>
      </c>
      <c r="D36" s="18" t="str">
        <f aca="false">IFERROR(-AVERAGE(C7:C36),"-")</f>
        <v>-</v>
      </c>
      <c r="E36" s="19" t="str">
        <f aca="false">IF(OR(B36="",D36="-",D36&lt;=0),"-",B36/D36)</f>
        <v>-</v>
      </c>
      <c r="F36" s="17"/>
      <c r="G36" s="17"/>
      <c r="H36" s="17"/>
      <c r="I36" s="18" t="n">
        <f aca="false">SUM(F36:H36)</f>
        <v>0</v>
      </c>
      <c r="J36" s="17"/>
      <c r="K36" s="17"/>
      <c r="L36" s="20" t="str">
        <f aca="false">IFERROR(K36/J36,"-")</f>
        <v>-</v>
      </c>
    </row>
    <row r="37" customFormat="false" ht="15" hidden="false" customHeight="false" outlineLevel="0" collapsed="false">
      <c r="A37" s="21" t="n">
        <f aca="false">A36+1</f>
        <v>46297</v>
      </c>
      <c r="B37" s="17"/>
      <c r="C37" s="18" t="str">
        <f aca="false">IF(OR(B37="",B36=""),"",B37-B36)</f>
        <v/>
      </c>
      <c r="D37" s="18" t="str">
        <f aca="false">IFERROR(-AVERAGE(C8:C37),"-")</f>
        <v>-</v>
      </c>
      <c r="E37" s="19" t="str">
        <f aca="false">IF(OR(B37="",D37="-",D37&lt;=0),"-",B37/D37)</f>
        <v>-</v>
      </c>
      <c r="F37" s="17"/>
      <c r="G37" s="17"/>
      <c r="H37" s="17"/>
      <c r="I37" s="18" t="n">
        <f aca="false">SUM(F37:H37)</f>
        <v>0</v>
      </c>
      <c r="J37" s="17"/>
      <c r="K37" s="17"/>
      <c r="L37" s="20" t="str">
        <f aca="false">IFERROR(K37/J37,"-")</f>
        <v>-</v>
      </c>
    </row>
    <row r="38" customFormat="false" ht="15" hidden="false" customHeight="false" outlineLevel="0" collapsed="false">
      <c r="A38" s="21" t="n">
        <f aca="false">A37+1</f>
        <v>46298</v>
      </c>
      <c r="B38" s="17"/>
      <c r="C38" s="18" t="str">
        <f aca="false">IF(OR(B38="",B37=""),"",B38-B37)</f>
        <v/>
      </c>
      <c r="D38" s="18" t="str">
        <f aca="false">IFERROR(-AVERAGE(C9:C38),"-")</f>
        <v>-</v>
      </c>
      <c r="E38" s="19" t="str">
        <f aca="false">IF(OR(B38="",D38="-",D38&lt;=0),"-",B38/D38)</f>
        <v>-</v>
      </c>
      <c r="F38" s="17"/>
      <c r="G38" s="17"/>
      <c r="H38" s="17"/>
      <c r="I38" s="18" t="n">
        <f aca="false">SUM(F38:H38)</f>
        <v>0</v>
      </c>
      <c r="J38" s="17"/>
      <c r="K38" s="17"/>
      <c r="L38" s="20" t="str">
        <f aca="false">IFERROR(K38/J38,"-")</f>
        <v>-</v>
      </c>
    </row>
    <row r="39" customFormat="false" ht="15" hidden="false" customHeight="false" outlineLevel="0" collapsed="false">
      <c r="A39" s="21" t="n">
        <f aca="false">A38+1</f>
        <v>46299</v>
      </c>
      <c r="B39" s="17"/>
      <c r="C39" s="18" t="str">
        <f aca="false">IF(OR(B39="",B38=""),"",B39-B38)</f>
        <v/>
      </c>
      <c r="D39" s="18" t="str">
        <f aca="false">IFERROR(-AVERAGE(C10:C39),"-")</f>
        <v>-</v>
      </c>
      <c r="E39" s="19" t="str">
        <f aca="false">IF(OR(B39="",D39="-",D39&lt;=0),"-",B39/D39)</f>
        <v>-</v>
      </c>
      <c r="F39" s="17"/>
      <c r="G39" s="17"/>
      <c r="H39" s="17"/>
      <c r="I39" s="18" t="n">
        <f aca="false">SUM(F39:H39)</f>
        <v>0</v>
      </c>
      <c r="J39" s="17"/>
      <c r="K39" s="17"/>
      <c r="L39" s="20" t="str">
        <f aca="false">IFERROR(K39/J39,"-")</f>
        <v>-</v>
      </c>
    </row>
    <row r="40" customFormat="false" ht="15" hidden="false" customHeight="false" outlineLevel="0" collapsed="false">
      <c r="A40" s="21" t="n">
        <f aca="false">A39+1</f>
        <v>46300</v>
      </c>
      <c r="B40" s="17"/>
      <c r="C40" s="18" t="str">
        <f aca="false">IF(OR(B40="",B39=""),"",B40-B39)</f>
        <v/>
      </c>
      <c r="D40" s="18" t="str">
        <f aca="false">IFERROR(-AVERAGE(C11:C40),"-")</f>
        <v>-</v>
      </c>
      <c r="E40" s="19" t="str">
        <f aca="false">IF(OR(B40="",D40="-",D40&lt;=0),"-",B40/D40)</f>
        <v>-</v>
      </c>
      <c r="F40" s="17"/>
      <c r="G40" s="17"/>
      <c r="H40" s="17"/>
      <c r="I40" s="18" t="n">
        <f aca="false">SUM(F40:H40)</f>
        <v>0</v>
      </c>
      <c r="J40" s="17"/>
      <c r="K40" s="17"/>
      <c r="L40" s="20" t="str">
        <f aca="false">IFERROR(K40/J40,"-")</f>
        <v>-</v>
      </c>
    </row>
    <row r="41" customFormat="false" ht="15" hidden="false" customHeight="false" outlineLevel="0" collapsed="false">
      <c r="A41" s="21" t="n">
        <f aca="false">A40+1</f>
        <v>46301</v>
      </c>
      <c r="B41" s="17"/>
      <c r="C41" s="18" t="str">
        <f aca="false">IF(OR(B41="",B40=""),"",B41-B40)</f>
        <v/>
      </c>
      <c r="D41" s="18" t="str">
        <f aca="false">IFERROR(-AVERAGE(C12:C41),"-")</f>
        <v>-</v>
      </c>
      <c r="E41" s="19" t="str">
        <f aca="false">IF(OR(B41="",D41="-",D41&lt;=0),"-",B41/D41)</f>
        <v>-</v>
      </c>
      <c r="F41" s="17"/>
      <c r="G41" s="17"/>
      <c r="H41" s="17"/>
      <c r="I41" s="18" t="n">
        <f aca="false">SUM(F41:H41)</f>
        <v>0</v>
      </c>
      <c r="J41" s="17"/>
      <c r="K41" s="17"/>
      <c r="L41" s="20" t="str">
        <f aca="false">IFERROR(K41/J41,"-")</f>
        <v>-</v>
      </c>
    </row>
    <row r="42" customFormat="false" ht="15" hidden="false" customHeight="false" outlineLevel="0" collapsed="false">
      <c r="A42" s="21" t="n">
        <f aca="false">A41+1</f>
        <v>46302</v>
      </c>
      <c r="B42" s="17"/>
      <c r="C42" s="18" t="str">
        <f aca="false">IF(OR(B42="",B41=""),"",B42-B41)</f>
        <v/>
      </c>
      <c r="D42" s="18" t="str">
        <f aca="false">IFERROR(-AVERAGE(C13:C42),"-")</f>
        <v>-</v>
      </c>
      <c r="E42" s="19" t="str">
        <f aca="false">IF(OR(B42="",D42="-",D42&lt;=0),"-",B42/D42)</f>
        <v>-</v>
      </c>
      <c r="F42" s="17"/>
      <c r="G42" s="17"/>
      <c r="H42" s="17"/>
      <c r="I42" s="18" t="n">
        <f aca="false">SUM(F42:H42)</f>
        <v>0</v>
      </c>
      <c r="J42" s="17"/>
      <c r="K42" s="17"/>
      <c r="L42" s="20" t="str">
        <f aca="false">IFERROR(K42/J42,"-")</f>
        <v>-</v>
      </c>
    </row>
    <row r="43" customFormat="false" ht="15" hidden="false" customHeight="false" outlineLevel="0" collapsed="false">
      <c r="A43" s="21" t="n">
        <f aca="false">A42+1</f>
        <v>46303</v>
      </c>
      <c r="B43" s="17"/>
      <c r="C43" s="18" t="str">
        <f aca="false">IF(OR(B43="",B42=""),"",B43-B42)</f>
        <v/>
      </c>
      <c r="D43" s="18" t="str">
        <f aca="false">IFERROR(-AVERAGE(C14:C43),"-")</f>
        <v>-</v>
      </c>
      <c r="E43" s="19" t="str">
        <f aca="false">IF(OR(B43="",D43="-",D43&lt;=0),"-",B43/D43)</f>
        <v>-</v>
      </c>
      <c r="F43" s="17"/>
      <c r="G43" s="17"/>
      <c r="H43" s="17"/>
      <c r="I43" s="18" t="n">
        <f aca="false">SUM(F43:H43)</f>
        <v>0</v>
      </c>
      <c r="J43" s="17"/>
      <c r="K43" s="17"/>
      <c r="L43" s="20" t="str">
        <f aca="false">IFERROR(K43/J43,"-")</f>
        <v>-</v>
      </c>
    </row>
    <row r="44" customFormat="false" ht="15" hidden="false" customHeight="false" outlineLevel="0" collapsed="false">
      <c r="A44" s="21" t="n">
        <f aca="false">A43+1</f>
        <v>46304</v>
      </c>
      <c r="B44" s="17"/>
      <c r="C44" s="18" t="str">
        <f aca="false">IF(OR(B44="",B43=""),"",B44-B43)</f>
        <v/>
      </c>
      <c r="D44" s="18" t="str">
        <f aca="false">IFERROR(-AVERAGE(C15:C44),"-")</f>
        <v>-</v>
      </c>
      <c r="E44" s="19" t="str">
        <f aca="false">IF(OR(B44="",D44="-",D44&lt;=0),"-",B44/D44)</f>
        <v>-</v>
      </c>
      <c r="F44" s="17"/>
      <c r="G44" s="17"/>
      <c r="H44" s="17"/>
      <c r="I44" s="18" t="n">
        <f aca="false">SUM(F44:H44)</f>
        <v>0</v>
      </c>
      <c r="J44" s="17"/>
      <c r="K44" s="17"/>
      <c r="L44" s="20" t="str">
        <f aca="false">IFERROR(K44/J44,"-")</f>
        <v>-</v>
      </c>
    </row>
    <row r="45" customFormat="false" ht="15" hidden="false" customHeight="false" outlineLevel="0" collapsed="false">
      <c r="A45" s="21" t="n">
        <f aca="false">A44+1</f>
        <v>46305</v>
      </c>
      <c r="B45" s="17"/>
      <c r="C45" s="18" t="str">
        <f aca="false">IF(OR(B45="",B44=""),"",B45-B44)</f>
        <v/>
      </c>
      <c r="D45" s="18" t="str">
        <f aca="false">IFERROR(-AVERAGE(C16:C45),"-")</f>
        <v>-</v>
      </c>
      <c r="E45" s="19" t="str">
        <f aca="false">IF(OR(B45="",D45="-",D45&lt;=0),"-",B45/D45)</f>
        <v>-</v>
      </c>
      <c r="F45" s="17"/>
      <c r="G45" s="17"/>
      <c r="H45" s="17"/>
      <c r="I45" s="18" t="n">
        <f aca="false">SUM(F45:H45)</f>
        <v>0</v>
      </c>
      <c r="J45" s="17"/>
      <c r="K45" s="17"/>
      <c r="L45" s="20" t="str">
        <f aca="false">IFERROR(K45/J45,"-")</f>
        <v>-</v>
      </c>
    </row>
    <row r="46" customFormat="false" ht="15" hidden="false" customHeight="false" outlineLevel="0" collapsed="false">
      <c r="A46" s="21" t="n">
        <f aca="false">A45+1</f>
        <v>46306</v>
      </c>
      <c r="B46" s="17"/>
      <c r="C46" s="18" t="str">
        <f aca="false">IF(OR(B46="",B45=""),"",B46-B45)</f>
        <v/>
      </c>
      <c r="D46" s="18" t="str">
        <f aca="false">IFERROR(-AVERAGE(C17:C46),"-")</f>
        <v>-</v>
      </c>
      <c r="E46" s="19" t="str">
        <f aca="false">IF(OR(B46="",D46="-",D46&lt;=0),"-",B46/D46)</f>
        <v>-</v>
      </c>
      <c r="F46" s="17"/>
      <c r="G46" s="17"/>
      <c r="H46" s="17"/>
      <c r="I46" s="18" t="n">
        <f aca="false">SUM(F46:H46)</f>
        <v>0</v>
      </c>
      <c r="J46" s="17"/>
      <c r="K46" s="17"/>
      <c r="L46" s="20" t="str">
        <f aca="false">IFERROR(K46/J46,"-")</f>
        <v>-</v>
      </c>
    </row>
    <row r="47" customFormat="false" ht="15" hidden="false" customHeight="false" outlineLevel="0" collapsed="false">
      <c r="A47" s="21" t="n">
        <f aca="false">A46+1</f>
        <v>46307</v>
      </c>
      <c r="B47" s="17"/>
      <c r="C47" s="18" t="str">
        <f aca="false">IF(OR(B47="",B46=""),"",B47-B46)</f>
        <v/>
      </c>
      <c r="D47" s="18" t="str">
        <f aca="false">IFERROR(-AVERAGE(C18:C47),"-")</f>
        <v>-</v>
      </c>
      <c r="E47" s="19" t="str">
        <f aca="false">IF(OR(B47="",D47="-",D47&lt;=0),"-",B47/D47)</f>
        <v>-</v>
      </c>
      <c r="F47" s="17"/>
      <c r="G47" s="17"/>
      <c r="H47" s="17"/>
      <c r="I47" s="18" t="n">
        <f aca="false">SUM(F47:H47)</f>
        <v>0</v>
      </c>
      <c r="J47" s="17"/>
      <c r="K47" s="17"/>
      <c r="L47" s="20" t="str">
        <f aca="false">IFERROR(K47/J47,"-")</f>
        <v>-</v>
      </c>
    </row>
    <row r="48" customFormat="false" ht="15" hidden="false" customHeight="false" outlineLevel="0" collapsed="false">
      <c r="A48" s="21" t="n">
        <f aca="false">A47+1</f>
        <v>46308</v>
      </c>
      <c r="B48" s="17"/>
      <c r="C48" s="18" t="str">
        <f aca="false">IF(OR(B48="",B47=""),"",B48-B47)</f>
        <v/>
      </c>
      <c r="D48" s="18" t="str">
        <f aca="false">IFERROR(-AVERAGE(C19:C48),"-")</f>
        <v>-</v>
      </c>
      <c r="E48" s="19" t="str">
        <f aca="false">IF(OR(B48="",D48="-",D48&lt;=0),"-",B48/D48)</f>
        <v>-</v>
      </c>
      <c r="F48" s="17"/>
      <c r="G48" s="17"/>
      <c r="H48" s="17"/>
      <c r="I48" s="18" t="n">
        <f aca="false">SUM(F48:H48)</f>
        <v>0</v>
      </c>
      <c r="J48" s="17"/>
      <c r="K48" s="17"/>
      <c r="L48" s="20" t="str">
        <f aca="false">IFERROR(K48/J48,"-")</f>
        <v>-</v>
      </c>
    </row>
    <row r="49" customFormat="false" ht="15" hidden="false" customHeight="false" outlineLevel="0" collapsed="false">
      <c r="A49" s="21" t="n">
        <f aca="false">A48+1</f>
        <v>46309</v>
      </c>
      <c r="B49" s="17"/>
      <c r="C49" s="18" t="str">
        <f aca="false">IF(OR(B49="",B48=""),"",B49-B48)</f>
        <v/>
      </c>
      <c r="D49" s="18" t="str">
        <f aca="false">IFERROR(-AVERAGE(C20:C49),"-")</f>
        <v>-</v>
      </c>
      <c r="E49" s="19" t="str">
        <f aca="false">IF(OR(B49="",D49="-",D49&lt;=0),"-",B49/D49)</f>
        <v>-</v>
      </c>
      <c r="F49" s="17"/>
      <c r="G49" s="17"/>
      <c r="H49" s="17"/>
      <c r="I49" s="18" t="n">
        <f aca="false">SUM(F49:H49)</f>
        <v>0</v>
      </c>
      <c r="J49" s="17"/>
      <c r="K49" s="17"/>
      <c r="L49" s="20" t="str">
        <f aca="false">IFERROR(K49/J49,"-")</f>
        <v>-</v>
      </c>
    </row>
    <row r="50" customFormat="false" ht="15" hidden="false" customHeight="false" outlineLevel="0" collapsed="false">
      <c r="A50" s="21" t="n">
        <f aca="false">A49+1</f>
        <v>46310</v>
      </c>
      <c r="B50" s="17"/>
      <c r="C50" s="18" t="str">
        <f aca="false">IF(OR(B50="",B49=""),"",B50-B49)</f>
        <v/>
      </c>
      <c r="D50" s="18" t="str">
        <f aca="false">IFERROR(-AVERAGE(C21:C50),"-")</f>
        <v>-</v>
      </c>
      <c r="E50" s="19" t="str">
        <f aca="false">IF(OR(B50="",D50="-",D50&lt;=0),"-",B50/D50)</f>
        <v>-</v>
      </c>
      <c r="F50" s="17"/>
      <c r="G50" s="17"/>
      <c r="H50" s="17"/>
      <c r="I50" s="18" t="n">
        <f aca="false">SUM(F50:H50)</f>
        <v>0</v>
      </c>
      <c r="J50" s="17"/>
      <c r="K50" s="17"/>
      <c r="L50" s="20" t="str">
        <f aca="false">IFERROR(K50/J50,"-")</f>
        <v>-</v>
      </c>
    </row>
    <row r="51" customFormat="false" ht="15" hidden="false" customHeight="false" outlineLevel="0" collapsed="false">
      <c r="A51" s="21" t="n">
        <f aca="false">A50+1</f>
        <v>46311</v>
      </c>
      <c r="B51" s="17"/>
      <c r="C51" s="18" t="str">
        <f aca="false">IF(OR(B51="",B50=""),"",B51-B50)</f>
        <v/>
      </c>
      <c r="D51" s="18" t="str">
        <f aca="false">IFERROR(-AVERAGE(C22:C51),"-")</f>
        <v>-</v>
      </c>
      <c r="E51" s="19" t="str">
        <f aca="false">IF(OR(B51="",D51="-",D51&lt;=0),"-",B51/D51)</f>
        <v>-</v>
      </c>
      <c r="F51" s="17"/>
      <c r="G51" s="17"/>
      <c r="H51" s="17"/>
      <c r="I51" s="18" t="n">
        <f aca="false">SUM(F51:H51)</f>
        <v>0</v>
      </c>
      <c r="J51" s="17"/>
      <c r="K51" s="17"/>
      <c r="L51" s="20" t="str">
        <f aca="false">IFERROR(K51/J51,"-")</f>
        <v>-</v>
      </c>
    </row>
    <row r="52" customFormat="false" ht="15" hidden="false" customHeight="false" outlineLevel="0" collapsed="false">
      <c r="A52" s="21" t="n">
        <f aca="false">A51+1</f>
        <v>46312</v>
      </c>
      <c r="B52" s="17"/>
      <c r="C52" s="18" t="str">
        <f aca="false">IF(OR(B52="",B51=""),"",B52-B51)</f>
        <v/>
      </c>
      <c r="D52" s="18" t="str">
        <f aca="false">IFERROR(-AVERAGE(C23:C52),"-")</f>
        <v>-</v>
      </c>
      <c r="E52" s="19" t="str">
        <f aca="false">IF(OR(B52="",D52="-",D52&lt;=0),"-",B52/D52)</f>
        <v>-</v>
      </c>
      <c r="F52" s="17"/>
      <c r="G52" s="17"/>
      <c r="H52" s="17"/>
      <c r="I52" s="18" t="n">
        <f aca="false">SUM(F52:H52)</f>
        <v>0</v>
      </c>
      <c r="J52" s="17"/>
      <c r="K52" s="17"/>
      <c r="L52" s="20" t="str">
        <f aca="false">IFERROR(K52/J52,"-")</f>
        <v>-</v>
      </c>
    </row>
    <row r="53" customFormat="false" ht="15" hidden="false" customHeight="false" outlineLevel="0" collapsed="false">
      <c r="A53" s="21" t="n">
        <f aca="false">A52+1</f>
        <v>46313</v>
      </c>
      <c r="B53" s="17"/>
      <c r="C53" s="18" t="str">
        <f aca="false">IF(OR(B53="",B52=""),"",B53-B52)</f>
        <v/>
      </c>
      <c r="D53" s="18" t="str">
        <f aca="false">IFERROR(-AVERAGE(C24:C53),"-")</f>
        <v>-</v>
      </c>
      <c r="E53" s="19" t="str">
        <f aca="false">IF(OR(B53="",D53="-",D53&lt;=0),"-",B53/D53)</f>
        <v>-</v>
      </c>
      <c r="F53" s="17"/>
      <c r="G53" s="17"/>
      <c r="H53" s="17"/>
      <c r="I53" s="18" t="n">
        <f aca="false">SUM(F53:H53)</f>
        <v>0</v>
      </c>
      <c r="J53" s="17"/>
      <c r="K53" s="17"/>
      <c r="L53" s="20" t="str">
        <f aca="false">IFERROR(K53/J53,"-")</f>
        <v>-</v>
      </c>
    </row>
    <row r="54" customFormat="false" ht="15" hidden="false" customHeight="false" outlineLevel="0" collapsed="false">
      <c r="A54" s="21" t="n">
        <f aca="false">A53+1</f>
        <v>46314</v>
      </c>
      <c r="B54" s="17"/>
      <c r="C54" s="18" t="str">
        <f aca="false">IF(OR(B54="",B53=""),"",B54-B53)</f>
        <v/>
      </c>
      <c r="D54" s="18" t="str">
        <f aca="false">IFERROR(-AVERAGE(C25:C54),"-")</f>
        <v>-</v>
      </c>
      <c r="E54" s="19" t="str">
        <f aca="false">IF(OR(B54="",D54="-",D54&lt;=0),"-",B54/D54)</f>
        <v>-</v>
      </c>
      <c r="F54" s="17"/>
      <c r="G54" s="17"/>
      <c r="H54" s="17"/>
      <c r="I54" s="18" t="n">
        <f aca="false">SUM(F54:H54)</f>
        <v>0</v>
      </c>
      <c r="J54" s="17"/>
      <c r="K54" s="17"/>
      <c r="L54" s="20" t="str">
        <f aca="false">IFERROR(K54/J54,"-")</f>
        <v>-</v>
      </c>
    </row>
    <row r="55" customFormat="false" ht="15" hidden="false" customHeight="false" outlineLevel="0" collapsed="false">
      <c r="A55" s="21" t="n">
        <f aca="false">A54+1</f>
        <v>46315</v>
      </c>
      <c r="B55" s="17"/>
      <c r="C55" s="18" t="str">
        <f aca="false">IF(OR(B55="",B54=""),"",B55-B54)</f>
        <v/>
      </c>
      <c r="D55" s="18" t="str">
        <f aca="false">IFERROR(-AVERAGE(C26:C55),"-")</f>
        <v>-</v>
      </c>
      <c r="E55" s="19" t="str">
        <f aca="false">IF(OR(B55="",D55="-",D55&lt;=0),"-",B55/D55)</f>
        <v>-</v>
      </c>
      <c r="F55" s="17"/>
      <c r="G55" s="17"/>
      <c r="H55" s="17"/>
      <c r="I55" s="18" t="n">
        <f aca="false">SUM(F55:H55)</f>
        <v>0</v>
      </c>
      <c r="J55" s="17"/>
      <c r="K55" s="17"/>
      <c r="L55" s="20" t="str">
        <f aca="false">IFERROR(K55/J55,"-")</f>
        <v>-</v>
      </c>
    </row>
    <row r="56" customFormat="false" ht="15" hidden="false" customHeight="false" outlineLevel="0" collapsed="false">
      <c r="A56" s="21" t="n">
        <f aca="false">A55+1</f>
        <v>46316</v>
      </c>
      <c r="B56" s="17"/>
      <c r="C56" s="18" t="str">
        <f aca="false">IF(OR(B56="",B55=""),"",B56-B55)</f>
        <v/>
      </c>
      <c r="D56" s="18" t="str">
        <f aca="false">IFERROR(-AVERAGE(C27:C56),"-")</f>
        <v>-</v>
      </c>
      <c r="E56" s="19" t="str">
        <f aca="false">IF(OR(B56="",D56="-",D56&lt;=0),"-",B56/D56)</f>
        <v>-</v>
      </c>
      <c r="F56" s="17"/>
      <c r="G56" s="17"/>
      <c r="H56" s="17"/>
      <c r="I56" s="18" t="n">
        <f aca="false">SUM(F56:H56)</f>
        <v>0</v>
      </c>
      <c r="J56" s="17"/>
      <c r="K56" s="17"/>
      <c r="L56" s="20" t="str">
        <f aca="false">IFERROR(K56/J56,"-")</f>
        <v>-</v>
      </c>
    </row>
    <row r="57" customFormat="false" ht="15" hidden="false" customHeight="false" outlineLevel="0" collapsed="false">
      <c r="A57" s="21" t="n">
        <f aca="false">A56+1</f>
        <v>46317</v>
      </c>
      <c r="B57" s="17"/>
      <c r="C57" s="18" t="str">
        <f aca="false">IF(OR(B57="",B56=""),"",B57-B56)</f>
        <v/>
      </c>
      <c r="D57" s="18" t="str">
        <f aca="false">IFERROR(-AVERAGE(C28:C57),"-")</f>
        <v>-</v>
      </c>
      <c r="E57" s="19" t="str">
        <f aca="false">IF(OR(B57="",D57="-",D57&lt;=0),"-",B57/D57)</f>
        <v>-</v>
      </c>
      <c r="F57" s="17"/>
      <c r="G57" s="17"/>
      <c r="H57" s="17"/>
      <c r="I57" s="18" t="n">
        <f aca="false">SUM(F57:H57)</f>
        <v>0</v>
      </c>
      <c r="J57" s="17"/>
      <c r="K57" s="17"/>
      <c r="L57" s="20" t="str">
        <f aca="false">IFERROR(K57/J57,"-")</f>
        <v>-</v>
      </c>
    </row>
    <row r="58" customFormat="false" ht="15" hidden="false" customHeight="false" outlineLevel="0" collapsed="false">
      <c r="A58" s="21" t="n">
        <f aca="false">A57+1</f>
        <v>46318</v>
      </c>
      <c r="B58" s="17"/>
      <c r="C58" s="18" t="str">
        <f aca="false">IF(OR(B58="",B57=""),"",B58-B57)</f>
        <v/>
      </c>
      <c r="D58" s="18" t="str">
        <f aca="false">IFERROR(-AVERAGE(C29:C58),"-")</f>
        <v>-</v>
      </c>
      <c r="E58" s="19" t="str">
        <f aca="false">IF(OR(B58="",D58="-",D58&lt;=0),"-",B58/D58)</f>
        <v>-</v>
      </c>
      <c r="F58" s="17"/>
      <c r="G58" s="17"/>
      <c r="H58" s="17"/>
      <c r="I58" s="18" t="n">
        <f aca="false">SUM(F58:H58)</f>
        <v>0</v>
      </c>
      <c r="J58" s="17"/>
      <c r="K58" s="17"/>
      <c r="L58" s="20" t="str">
        <f aca="false">IFERROR(K58/J58,"-")</f>
        <v>-</v>
      </c>
    </row>
    <row r="59" customFormat="false" ht="15" hidden="false" customHeight="false" outlineLevel="0" collapsed="false">
      <c r="A59" s="21" t="n">
        <f aca="false">A58+1</f>
        <v>46319</v>
      </c>
      <c r="B59" s="17"/>
      <c r="C59" s="18" t="str">
        <f aca="false">IF(OR(B59="",B58=""),"",B59-B58)</f>
        <v/>
      </c>
      <c r="D59" s="18" t="str">
        <f aca="false">IFERROR(-AVERAGE(C30:C59),"-")</f>
        <v>-</v>
      </c>
      <c r="E59" s="19" t="str">
        <f aca="false">IF(OR(B59="",D59="-",D59&lt;=0),"-",B59/D59)</f>
        <v>-</v>
      </c>
      <c r="F59" s="17"/>
      <c r="G59" s="17"/>
      <c r="H59" s="17"/>
      <c r="I59" s="18" t="n">
        <f aca="false">SUM(F59:H59)</f>
        <v>0</v>
      </c>
      <c r="J59" s="17"/>
      <c r="K59" s="17"/>
      <c r="L59" s="20" t="str">
        <f aca="false">IFERROR(K59/J59,"-")</f>
        <v>-</v>
      </c>
    </row>
    <row r="60" customFormat="false" ht="15" hidden="false" customHeight="false" outlineLevel="0" collapsed="false">
      <c r="A60" s="21" t="n">
        <f aca="false">A59+1</f>
        <v>46320</v>
      </c>
      <c r="B60" s="17"/>
      <c r="C60" s="18" t="str">
        <f aca="false">IF(OR(B60="",B59=""),"",B60-B59)</f>
        <v/>
      </c>
      <c r="D60" s="18" t="str">
        <f aca="false">IFERROR(-AVERAGE(C31:C60),"-")</f>
        <v>-</v>
      </c>
      <c r="E60" s="19" t="str">
        <f aca="false">IF(OR(B60="",D60="-",D60&lt;=0),"-",B60/D60)</f>
        <v>-</v>
      </c>
      <c r="F60" s="17"/>
      <c r="G60" s="17"/>
      <c r="H60" s="17"/>
      <c r="I60" s="18" t="n">
        <f aca="false">SUM(F60:H60)</f>
        <v>0</v>
      </c>
      <c r="J60" s="17"/>
      <c r="K60" s="17"/>
      <c r="L60" s="20" t="str">
        <f aca="false">IFERROR(K60/J60,"-")</f>
        <v>-</v>
      </c>
    </row>
    <row r="61" customFormat="false" ht="15" hidden="false" customHeight="false" outlineLevel="0" collapsed="false">
      <c r="A61" s="21" t="n">
        <f aca="false">A60+1</f>
        <v>46321</v>
      </c>
      <c r="B61" s="17"/>
      <c r="C61" s="18" t="str">
        <f aca="false">IF(OR(B61="",B60=""),"",B61-B60)</f>
        <v/>
      </c>
      <c r="D61" s="18" t="str">
        <f aca="false">IFERROR(-AVERAGE(C32:C61),"-")</f>
        <v>-</v>
      </c>
      <c r="E61" s="19" t="str">
        <f aca="false">IF(OR(B61="",D61="-",D61&lt;=0),"-",B61/D61)</f>
        <v>-</v>
      </c>
      <c r="F61" s="17"/>
      <c r="G61" s="17"/>
      <c r="H61" s="17"/>
      <c r="I61" s="18" t="n">
        <f aca="false">SUM(F61:H61)</f>
        <v>0</v>
      </c>
      <c r="J61" s="17"/>
      <c r="K61" s="17"/>
      <c r="L61" s="20" t="str">
        <f aca="false">IFERROR(K61/J61,"-")</f>
        <v>-</v>
      </c>
    </row>
    <row r="62" customFormat="false" ht="15" hidden="false" customHeight="false" outlineLevel="0" collapsed="false">
      <c r="A62" s="21" t="n">
        <f aca="false">A61+1</f>
        <v>46322</v>
      </c>
      <c r="B62" s="17"/>
      <c r="C62" s="18" t="str">
        <f aca="false">IF(OR(B62="",B61=""),"",B62-B61)</f>
        <v/>
      </c>
      <c r="D62" s="18" t="str">
        <f aca="false">IFERROR(-AVERAGE(C33:C62),"-")</f>
        <v>-</v>
      </c>
      <c r="E62" s="19" t="str">
        <f aca="false">IF(OR(B62="",D62="-",D62&lt;=0),"-",B62/D62)</f>
        <v>-</v>
      </c>
      <c r="F62" s="17"/>
      <c r="G62" s="17"/>
      <c r="H62" s="17"/>
      <c r="I62" s="18" t="n">
        <f aca="false">SUM(F62:H62)</f>
        <v>0</v>
      </c>
      <c r="J62" s="17"/>
      <c r="K62" s="17"/>
      <c r="L62" s="20" t="str">
        <f aca="false">IFERROR(K62/J62,"-")</f>
        <v>-</v>
      </c>
    </row>
    <row r="63" customFormat="false" ht="15" hidden="false" customHeight="false" outlineLevel="0" collapsed="false">
      <c r="A63" s="21" t="n">
        <f aca="false">A62+1</f>
        <v>46323</v>
      </c>
      <c r="B63" s="17"/>
      <c r="C63" s="18" t="str">
        <f aca="false">IF(OR(B63="",B62=""),"",B63-B62)</f>
        <v/>
      </c>
      <c r="D63" s="18" t="str">
        <f aca="false">IFERROR(-AVERAGE(C34:C63),"-")</f>
        <v>-</v>
      </c>
      <c r="E63" s="19" t="str">
        <f aca="false">IF(OR(B63="",D63="-",D63&lt;=0),"-",B63/D63)</f>
        <v>-</v>
      </c>
      <c r="F63" s="17"/>
      <c r="G63" s="17"/>
      <c r="H63" s="17"/>
      <c r="I63" s="18" t="n">
        <f aca="false">SUM(F63:H63)</f>
        <v>0</v>
      </c>
      <c r="J63" s="17"/>
      <c r="K63" s="17"/>
      <c r="L63" s="20" t="str">
        <f aca="false">IFERROR(K63/J63,"-")</f>
        <v>-</v>
      </c>
    </row>
    <row r="64" customFormat="false" ht="15" hidden="false" customHeight="false" outlineLevel="0" collapsed="false">
      <c r="A64" s="21" t="n">
        <f aca="false">A63+1</f>
        <v>46324</v>
      </c>
      <c r="B64" s="17"/>
      <c r="C64" s="18" t="str">
        <f aca="false">IF(OR(B64="",B63=""),"",B64-B63)</f>
        <v/>
      </c>
      <c r="D64" s="18" t="str">
        <f aca="false">IFERROR(-AVERAGE(C35:C64),"-")</f>
        <v>-</v>
      </c>
      <c r="E64" s="19" t="str">
        <f aca="false">IF(OR(B64="",D64="-",D64&lt;=0),"-",B64/D64)</f>
        <v>-</v>
      </c>
      <c r="F64" s="17"/>
      <c r="G64" s="17"/>
      <c r="H64" s="17"/>
      <c r="I64" s="18" t="n">
        <f aca="false">SUM(F64:H64)</f>
        <v>0</v>
      </c>
      <c r="J64" s="17"/>
      <c r="K64" s="17"/>
      <c r="L64" s="20" t="str">
        <f aca="false">IFERROR(K64/J64,"-")</f>
        <v>-</v>
      </c>
    </row>
    <row r="67" customFormat="false" ht="15" hidden="false" customHeight="false" outlineLevel="0" collapsed="false">
      <c r="A67" s="22" t="s">
        <v>64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20"/>
  </cols>
  <sheetData>
    <row r="1" customFormat="false" ht="19.7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66</v>
      </c>
    </row>
    <row r="4" customFormat="false" ht="26.85" hidden="false" customHeight="false" outlineLevel="0" collapsed="false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</row>
    <row r="5" customFormat="false" ht="15" hidden="false" customHeight="false" outlineLevel="0" collapsed="false">
      <c r="A5" s="23" t="s">
        <v>76</v>
      </c>
      <c r="B5" s="17" t="n">
        <v>60000</v>
      </c>
      <c r="C5" s="24" t="n">
        <v>300</v>
      </c>
      <c r="D5" s="24" t="n">
        <v>165</v>
      </c>
      <c r="E5" s="20" t="n">
        <f aca="false">IFERROR(D5/C5,"-")</f>
        <v>0.55</v>
      </c>
      <c r="F5" s="18" t="n">
        <f aca="false">IFERROR(B5*E5,"-")</f>
        <v>33000</v>
      </c>
      <c r="G5" s="17" t="n">
        <v>48000</v>
      </c>
      <c r="H5" s="18" t="n">
        <f aca="false">IFERROR(F5-G5,"-")</f>
        <v>-15000</v>
      </c>
      <c r="I5" s="15" t="str">
        <f aca="false">IF(A5="","",IF(H5="-","-",IF(H5&gt;0,"INVOICE NOW",IF(H5&lt;-0.2*B5,"Ahead - Monitor","OK"))))</f>
        <v>Ahead - Monitor</v>
      </c>
    </row>
    <row r="6" customFormat="false" ht="15" hidden="false" customHeight="false" outlineLevel="0" collapsed="false">
      <c r="A6" s="23"/>
      <c r="B6" s="17"/>
      <c r="C6" s="24"/>
      <c r="D6" s="24"/>
      <c r="E6" s="20" t="str">
        <f aca="false">IFERROR(D6/C6,"-")</f>
        <v>-</v>
      </c>
      <c r="F6" s="18" t="str">
        <f aca="false">IFERROR(B6*E6,"-")</f>
        <v>-</v>
      </c>
      <c r="G6" s="17"/>
      <c r="H6" s="18" t="str">
        <f aca="false">IFERROR(F6-G6,"-")</f>
        <v>-</v>
      </c>
      <c r="I6" s="15" t="str">
        <f aca="false">IF(A6="","",IF(H6="-","-",IF(H6&gt;0,"INVOICE NOW",IF(H6&lt;-0.2*B6,"Ahead - Monitor","OK"))))</f>
        <v/>
      </c>
    </row>
    <row r="7" customFormat="false" ht="15" hidden="false" customHeight="false" outlineLevel="0" collapsed="false">
      <c r="A7" s="23"/>
      <c r="B7" s="17"/>
      <c r="C7" s="24"/>
      <c r="D7" s="24"/>
      <c r="E7" s="20" t="str">
        <f aca="false">IFERROR(D7/C7,"-")</f>
        <v>-</v>
      </c>
      <c r="F7" s="18" t="str">
        <f aca="false">IFERROR(B7*E7,"-")</f>
        <v>-</v>
      </c>
      <c r="G7" s="17"/>
      <c r="H7" s="18" t="str">
        <f aca="false">IFERROR(F7-G7,"-")</f>
        <v>-</v>
      </c>
      <c r="I7" s="15" t="str">
        <f aca="false">IF(A7="","",IF(H7="-","-",IF(H7&gt;0,"INVOICE NOW",IF(H7&lt;-0.2*B7,"Ahead - Monitor","OK"))))</f>
        <v/>
      </c>
    </row>
    <row r="8" customFormat="false" ht="15" hidden="false" customHeight="false" outlineLevel="0" collapsed="false">
      <c r="A8" s="23"/>
      <c r="B8" s="17"/>
      <c r="C8" s="24"/>
      <c r="D8" s="24"/>
      <c r="E8" s="20" t="str">
        <f aca="false">IFERROR(D8/C8,"-")</f>
        <v>-</v>
      </c>
      <c r="F8" s="18" t="str">
        <f aca="false">IFERROR(B8*E8,"-")</f>
        <v>-</v>
      </c>
      <c r="G8" s="17"/>
      <c r="H8" s="18" t="str">
        <f aca="false">IFERROR(F8-G8,"-")</f>
        <v>-</v>
      </c>
      <c r="I8" s="15" t="str">
        <f aca="false">IF(A8="","",IF(H8="-","-",IF(H8&gt;0,"INVOICE NOW",IF(H8&lt;-0.2*B8,"Ahead - Monitor","OK"))))</f>
        <v/>
      </c>
    </row>
    <row r="9" customFormat="false" ht="15" hidden="false" customHeight="false" outlineLevel="0" collapsed="false">
      <c r="A9" s="23"/>
      <c r="B9" s="17"/>
      <c r="C9" s="24"/>
      <c r="D9" s="24"/>
      <c r="E9" s="20" t="str">
        <f aca="false">IFERROR(D9/C9,"-")</f>
        <v>-</v>
      </c>
      <c r="F9" s="18" t="str">
        <f aca="false">IFERROR(B9*E9,"-")</f>
        <v>-</v>
      </c>
      <c r="G9" s="17"/>
      <c r="H9" s="18" t="str">
        <f aca="false">IFERROR(F9-G9,"-")</f>
        <v>-</v>
      </c>
      <c r="I9" s="15" t="str">
        <f aca="false">IF(A9="","",IF(H9="-","-",IF(H9&gt;0,"INVOICE NOW",IF(H9&lt;-0.2*B9,"Ahead - Monitor","OK"))))</f>
        <v/>
      </c>
    </row>
    <row r="10" customFormat="false" ht="15" hidden="false" customHeight="false" outlineLevel="0" collapsed="false">
      <c r="A10" s="23"/>
      <c r="B10" s="17"/>
      <c r="C10" s="24"/>
      <c r="D10" s="24"/>
      <c r="E10" s="20" t="str">
        <f aca="false">IFERROR(D10/C10,"-")</f>
        <v>-</v>
      </c>
      <c r="F10" s="18" t="str">
        <f aca="false">IFERROR(B10*E10,"-")</f>
        <v>-</v>
      </c>
      <c r="G10" s="17"/>
      <c r="H10" s="18" t="str">
        <f aca="false">IFERROR(F10-G10,"-")</f>
        <v>-</v>
      </c>
      <c r="I10" s="15" t="str">
        <f aca="false">IF(A10="","",IF(H10="-","-",IF(H10&gt;0,"INVOICE NOW",IF(H10&lt;-0.2*B10,"Ahead - Monitor","OK"))))</f>
        <v/>
      </c>
    </row>
    <row r="11" customFormat="false" ht="15" hidden="false" customHeight="false" outlineLevel="0" collapsed="false">
      <c r="A11" s="23"/>
      <c r="B11" s="17"/>
      <c r="C11" s="24"/>
      <c r="D11" s="24"/>
      <c r="E11" s="20" t="str">
        <f aca="false">IFERROR(D11/C11,"-")</f>
        <v>-</v>
      </c>
      <c r="F11" s="18" t="str">
        <f aca="false">IFERROR(B11*E11,"-")</f>
        <v>-</v>
      </c>
      <c r="G11" s="17"/>
      <c r="H11" s="18" t="str">
        <f aca="false">IFERROR(F11-G11,"-")</f>
        <v>-</v>
      </c>
      <c r="I11" s="15" t="str">
        <f aca="false">IF(A11="","",IF(H11="-","-",IF(H11&gt;0,"INVOICE NOW",IF(H11&lt;-0.2*B11,"Ahead - Monitor","OK"))))</f>
        <v/>
      </c>
    </row>
    <row r="12" customFormat="false" ht="15" hidden="false" customHeight="false" outlineLevel="0" collapsed="false">
      <c r="A12" s="23"/>
      <c r="B12" s="17"/>
      <c r="C12" s="24"/>
      <c r="D12" s="24"/>
      <c r="E12" s="20" t="str">
        <f aca="false">IFERROR(D12/C12,"-")</f>
        <v>-</v>
      </c>
      <c r="F12" s="18" t="str">
        <f aca="false">IFERROR(B12*E12,"-")</f>
        <v>-</v>
      </c>
      <c r="G12" s="17"/>
      <c r="H12" s="18" t="str">
        <f aca="false">IFERROR(F12-G12,"-")</f>
        <v>-</v>
      </c>
      <c r="I12" s="15" t="str">
        <f aca="false">IF(A12="","",IF(H12="-","-",IF(H12&gt;0,"INVOICE NOW",IF(H12&lt;-0.2*B12,"Ahead - Monitor","OK"))))</f>
        <v/>
      </c>
    </row>
    <row r="13" customFormat="false" ht="15" hidden="false" customHeight="false" outlineLevel="0" collapsed="false">
      <c r="A13" s="23"/>
      <c r="B13" s="17"/>
      <c r="C13" s="24"/>
      <c r="D13" s="24"/>
      <c r="E13" s="20" t="str">
        <f aca="false">IFERROR(D13/C13,"-")</f>
        <v>-</v>
      </c>
      <c r="F13" s="18" t="str">
        <f aca="false">IFERROR(B13*E13,"-")</f>
        <v>-</v>
      </c>
      <c r="G13" s="17"/>
      <c r="H13" s="18" t="str">
        <f aca="false">IFERROR(F13-G13,"-")</f>
        <v>-</v>
      </c>
      <c r="I13" s="15" t="str">
        <f aca="false">IF(A13="","",IF(H13="-","-",IF(H13&gt;0,"INVOICE NOW",IF(H13&lt;-0.2*B13,"Ahead - Monitor","OK"))))</f>
        <v/>
      </c>
    </row>
    <row r="14" customFormat="false" ht="15" hidden="false" customHeight="false" outlineLevel="0" collapsed="false">
      <c r="A14" s="23"/>
      <c r="B14" s="17"/>
      <c r="C14" s="24"/>
      <c r="D14" s="24"/>
      <c r="E14" s="20" t="str">
        <f aca="false">IFERROR(D14/C14,"-")</f>
        <v>-</v>
      </c>
      <c r="F14" s="18" t="str">
        <f aca="false">IFERROR(B14*E14,"-")</f>
        <v>-</v>
      </c>
      <c r="G14" s="17"/>
      <c r="H14" s="18" t="str">
        <f aca="false">IFERROR(F14-G14,"-")</f>
        <v>-</v>
      </c>
      <c r="I14" s="15" t="str">
        <f aca="false">IF(A14="","",IF(H14="-","-",IF(H14&gt;0,"INVOICE NOW",IF(H14&lt;-0.2*B14,"Ahead - Monitor","OK"))))</f>
        <v/>
      </c>
    </row>
    <row r="15" customFormat="false" ht="15" hidden="false" customHeight="false" outlineLevel="0" collapsed="false">
      <c r="A15" s="23"/>
      <c r="B15" s="17"/>
      <c r="C15" s="24"/>
      <c r="D15" s="24"/>
      <c r="E15" s="20" t="str">
        <f aca="false">IFERROR(D15/C15,"-")</f>
        <v>-</v>
      </c>
      <c r="F15" s="18" t="str">
        <f aca="false">IFERROR(B15*E15,"-")</f>
        <v>-</v>
      </c>
      <c r="G15" s="17"/>
      <c r="H15" s="18" t="str">
        <f aca="false">IFERROR(F15-G15,"-")</f>
        <v>-</v>
      </c>
      <c r="I15" s="15" t="str">
        <f aca="false">IF(A15="","",IF(H15="-","-",IF(H15&gt;0,"INVOICE NOW",IF(H15&lt;-0.2*B15,"Ahead - Monitor","OK"))))</f>
        <v/>
      </c>
    </row>
    <row r="16" customFormat="false" ht="15" hidden="false" customHeight="false" outlineLevel="0" collapsed="false">
      <c r="A16" s="23"/>
      <c r="B16" s="17"/>
      <c r="C16" s="24"/>
      <c r="D16" s="24"/>
      <c r="E16" s="20" t="str">
        <f aca="false">IFERROR(D16/C16,"-")</f>
        <v>-</v>
      </c>
      <c r="F16" s="18" t="str">
        <f aca="false">IFERROR(B16*E16,"-")</f>
        <v>-</v>
      </c>
      <c r="G16" s="17"/>
      <c r="H16" s="18" t="str">
        <f aca="false">IFERROR(F16-G16,"-")</f>
        <v>-</v>
      </c>
      <c r="I16" s="15" t="str">
        <f aca="false">IF(A16="","",IF(H16="-","-",IF(H16&gt;0,"INVOICE NOW",IF(H16&lt;-0.2*B16,"Ahead - Monitor","OK"))))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78</v>
      </c>
    </row>
    <row r="4" customFormat="false" ht="26.85" hidden="false" customHeight="false" outlineLevel="0" collapsed="false">
      <c r="A4" s="7" t="s">
        <v>67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75</v>
      </c>
    </row>
    <row r="5" customFormat="false" ht="15" hidden="false" customHeight="false" outlineLevel="0" collapsed="false">
      <c r="A5" s="23" t="s">
        <v>76</v>
      </c>
      <c r="B5" s="24" t="n">
        <v>300</v>
      </c>
      <c r="C5" s="25" t="n">
        <v>0.55</v>
      </c>
      <c r="D5" s="26" t="n">
        <f aca="false">IFERROR(B5*C5,"-")</f>
        <v>165</v>
      </c>
      <c r="E5" s="24" t="n">
        <v>185</v>
      </c>
      <c r="F5" s="20" t="n">
        <f aca="false">IFERROR((E5-D5)/D5,"-")</f>
        <v>0.121212121212121</v>
      </c>
      <c r="G5" s="15" t="str">
        <f aca="false">IF(A5="","",IF(F5="-","-",IF(F5&gt;0.3,"CHANGE ORDER NOW",IF(F5&gt;0.15,"Send Scope Check","OK"))))</f>
        <v>OK</v>
      </c>
    </row>
    <row r="6" customFormat="false" ht="15" hidden="false" customHeight="false" outlineLevel="0" collapsed="false">
      <c r="A6" s="23"/>
      <c r="B6" s="24"/>
      <c r="C6" s="25"/>
      <c r="D6" s="26" t="n">
        <f aca="false">IFERROR(B6*C6,"-")</f>
        <v>0</v>
      </c>
      <c r="E6" s="24"/>
      <c r="F6" s="20" t="str">
        <f aca="false">IFERROR((E6-D6)/D6,"-")</f>
        <v>-</v>
      </c>
      <c r="G6" s="15" t="str">
        <f aca="false">IF(A6="","",IF(F6="-","-",IF(F6&gt;0.3,"CHANGE ORDER NOW",IF(F6&gt;0.15,"Send Scope Check","OK"))))</f>
        <v/>
      </c>
    </row>
    <row r="7" customFormat="false" ht="15" hidden="false" customHeight="false" outlineLevel="0" collapsed="false">
      <c r="A7" s="23"/>
      <c r="B7" s="24"/>
      <c r="C7" s="25"/>
      <c r="D7" s="26" t="n">
        <f aca="false">IFERROR(B7*C7,"-")</f>
        <v>0</v>
      </c>
      <c r="E7" s="24"/>
      <c r="F7" s="20" t="str">
        <f aca="false">IFERROR((E7-D7)/D7,"-")</f>
        <v>-</v>
      </c>
      <c r="G7" s="15" t="str">
        <f aca="false">IF(A7="","",IF(F7="-","-",IF(F7&gt;0.3,"CHANGE ORDER NOW",IF(F7&gt;0.15,"Send Scope Check","OK"))))</f>
        <v/>
      </c>
    </row>
    <row r="8" customFormat="false" ht="15" hidden="false" customHeight="false" outlineLevel="0" collapsed="false">
      <c r="A8" s="23"/>
      <c r="B8" s="24"/>
      <c r="C8" s="25"/>
      <c r="D8" s="26" t="n">
        <f aca="false">IFERROR(B8*C8,"-")</f>
        <v>0</v>
      </c>
      <c r="E8" s="24"/>
      <c r="F8" s="20" t="str">
        <f aca="false">IFERROR((E8-D8)/D8,"-")</f>
        <v>-</v>
      </c>
      <c r="G8" s="15" t="str">
        <f aca="false">IF(A8="","",IF(F8="-","-",IF(F8&gt;0.3,"CHANGE ORDER NOW",IF(F8&gt;0.15,"Send Scope Check","OK"))))</f>
        <v/>
      </c>
    </row>
    <row r="9" customFormat="false" ht="15" hidden="false" customHeight="false" outlineLevel="0" collapsed="false">
      <c r="A9" s="23"/>
      <c r="B9" s="24"/>
      <c r="C9" s="25"/>
      <c r="D9" s="26" t="n">
        <f aca="false">IFERROR(B9*C9,"-")</f>
        <v>0</v>
      </c>
      <c r="E9" s="24"/>
      <c r="F9" s="20" t="str">
        <f aca="false">IFERROR((E9-D9)/D9,"-")</f>
        <v>-</v>
      </c>
      <c r="G9" s="15" t="str">
        <f aca="false">IF(A9="","",IF(F9="-","-",IF(F9&gt;0.3,"CHANGE ORDER NOW",IF(F9&gt;0.15,"Send Scope Check","OK"))))</f>
        <v/>
      </c>
    </row>
    <row r="10" customFormat="false" ht="15" hidden="false" customHeight="false" outlineLevel="0" collapsed="false">
      <c r="A10" s="23"/>
      <c r="B10" s="24"/>
      <c r="C10" s="25"/>
      <c r="D10" s="26" t="n">
        <f aca="false">IFERROR(B10*C10,"-")</f>
        <v>0</v>
      </c>
      <c r="E10" s="24"/>
      <c r="F10" s="20" t="str">
        <f aca="false">IFERROR((E10-D10)/D10,"-")</f>
        <v>-</v>
      </c>
      <c r="G10" s="15" t="str">
        <f aca="false">IF(A10="","",IF(F10="-","-",IF(F10&gt;0.3,"CHANGE ORDER NOW",IF(F10&gt;0.15,"Send Scope Check","OK"))))</f>
        <v/>
      </c>
    </row>
    <row r="11" customFormat="false" ht="15" hidden="false" customHeight="false" outlineLevel="0" collapsed="false">
      <c r="A11" s="23"/>
      <c r="B11" s="24"/>
      <c r="C11" s="25"/>
      <c r="D11" s="26" t="n">
        <f aca="false">IFERROR(B11*C11,"-")</f>
        <v>0</v>
      </c>
      <c r="E11" s="24"/>
      <c r="F11" s="20" t="str">
        <f aca="false">IFERROR((E11-D11)/D11,"-")</f>
        <v>-</v>
      </c>
      <c r="G11" s="15" t="str">
        <f aca="false">IF(A11="","",IF(F11="-","-",IF(F11&gt;0.3,"CHANGE ORDER NOW",IF(F11&gt;0.15,"Send Scope Check","OK"))))</f>
        <v/>
      </c>
    </row>
    <row r="12" customFormat="false" ht="15" hidden="false" customHeight="false" outlineLevel="0" collapsed="false">
      <c r="A12" s="23"/>
      <c r="B12" s="24"/>
      <c r="C12" s="25"/>
      <c r="D12" s="26" t="n">
        <f aca="false">IFERROR(B12*C12,"-")</f>
        <v>0</v>
      </c>
      <c r="E12" s="24"/>
      <c r="F12" s="20" t="str">
        <f aca="false">IFERROR((E12-D12)/D12,"-")</f>
        <v>-</v>
      </c>
      <c r="G12" s="15" t="str">
        <f aca="false">IF(A12="","",IF(F12="-","-",IF(F12&gt;0.3,"CHANGE ORDER NOW",IF(F12&gt;0.15,"Send Scope Check","OK"))))</f>
        <v/>
      </c>
    </row>
    <row r="13" customFormat="false" ht="15" hidden="false" customHeight="false" outlineLevel="0" collapsed="false">
      <c r="A13" s="23"/>
      <c r="B13" s="24"/>
      <c r="C13" s="25"/>
      <c r="D13" s="26" t="n">
        <f aca="false">IFERROR(B13*C13,"-")</f>
        <v>0</v>
      </c>
      <c r="E13" s="24"/>
      <c r="F13" s="20" t="str">
        <f aca="false">IFERROR((E13-D13)/D13,"-")</f>
        <v>-</v>
      </c>
      <c r="G13" s="15" t="str">
        <f aca="false">IF(A13="","",IF(F13="-","-",IF(F13&gt;0.3,"CHANGE ORDER NOW",IF(F13&gt;0.15,"Send Scope Check","OK"))))</f>
        <v/>
      </c>
    </row>
    <row r="14" customFormat="false" ht="15" hidden="false" customHeight="false" outlineLevel="0" collapsed="false">
      <c r="A14" s="23"/>
      <c r="B14" s="24"/>
      <c r="C14" s="25"/>
      <c r="D14" s="26" t="n">
        <f aca="false">IFERROR(B14*C14,"-")</f>
        <v>0</v>
      </c>
      <c r="E14" s="24"/>
      <c r="F14" s="20" t="str">
        <f aca="false">IFERROR((E14-D14)/D14,"-")</f>
        <v>-</v>
      </c>
      <c r="G14" s="15" t="str">
        <f aca="false">IF(A14="","",IF(F14="-","-",IF(F14&gt;0.3,"CHANGE ORDER NOW",IF(F14&gt;0.15,"Send Scope Check","OK"))))</f>
        <v/>
      </c>
    </row>
    <row r="15" customFormat="false" ht="15" hidden="false" customHeight="false" outlineLevel="0" collapsed="false">
      <c r="A15" s="23"/>
      <c r="B15" s="24"/>
      <c r="C15" s="25"/>
      <c r="D15" s="26" t="n">
        <f aca="false">IFERROR(B15*C15,"-")</f>
        <v>0</v>
      </c>
      <c r="E15" s="24"/>
      <c r="F15" s="20" t="str">
        <f aca="false">IFERROR((E15-D15)/D15,"-")</f>
        <v>-</v>
      </c>
      <c r="G15" s="15" t="str">
        <f aca="false">IF(A15="","",IF(F15="-","-",IF(F15&gt;0.3,"CHANGE ORDER NOW",IF(F15&gt;0.15,"Send Scope Check","OK"))))</f>
        <v/>
      </c>
    </row>
    <row r="16" customFormat="false" ht="15" hidden="false" customHeight="false" outlineLevel="0" collapsed="false">
      <c r="A16" s="23"/>
      <c r="B16" s="24"/>
      <c r="C16" s="25"/>
      <c r="D16" s="26" t="n">
        <f aca="false">IFERROR(B16*C16,"-")</f>
        <v>0</v>
      </c>
      <c r="E16" s="24"/>
      <c r="F16" s="20" t="str">
        <f aca="false">IFERROR((E16-D16)/D16,"-")</f>
        <v>-</v>
      </c>
      <c r="G16" s="15" t="str">
        <f aca="false">IF(A16="","",IF(F16="-","-",IF(F16&gt;0.3,"CHANGE ORDER NOW",IF(F16&gt;0.15,"Send Scope Check","OK"))))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85</v>
      </c>
    </row>
    <row r="4" customFormat="false" ht="26.85" hidden="false" customHeight="false" outlineLevel="0" collapsed="false">
      <c r="A4" s="7" t="s">
        <v>86</v>
      </c>
      <c r="B4" s="7" t="s">
        <v>87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5" customFormat="false" ht="15" hidden="false" customHeight="false" outlineLevel="0" collapsed="false">
      <c r="A5" s="23" t="s">
        <v>95</v>
      </c>
      <c r="B5" s="17" t="n">
        <v>4000</v>
      </c>
      <c r="C5" s="16" t="n">
        <v>46290</v>
      </c>
      <c r="D5" s="23" t="s">
        <v>96</v>
      </c>
      <c r="E5" s="23" t="s">
        <v>97</v>
      </c>
      <c r="F5" s="23" t="s">
        <v>96</v>
      </c>
      <c r="G5" s="15" t="n">
        <f aca="false">IF(A5="","",COUNTIF(D5:F5,"Yellow")+COUNTIF(D5:F5,"Red"))</f>
        <v>2</v>
      </c>
      <c r="H5" s="20" t="n">
        <f aca="false">IF(A5="","",IF(OR(D5="Red",E5="Red"),0.15,IF(G5&gt;=2,0.3,IF(G5=1,0.65,0.9))))</f>
        <v>0.3</v>
      </c>
      <c r="I5" s="15" t="str">
        <f aca="false">IF(A5="","",IF(G5&gt;=2,"Send value-recap touchpoint this week","Monitor"))</f>
        <v>Send value-recap touchpoint this week</v>
      </c>
    </row>
    <row r="6" customFormat="false" ht="15" hidden="false" customHeight="false" outlineLevel="0" collapsed="false">
      <c r="A6" s="23"/>
      <c r="B6" s="17"/>
      <c r="C6" s="16"/>
      <c r="D6" s="23"/>
      <c r="E6" s="23"/>
      <c r="F6" s="23"/>
      <c r="G6" s="15" t="str">
        <f aca="false">IF(A6="","",COUNTIF(D6:F6,"Yellow")+COUNTIF(D6:F6,"Red"))</f>
        <v/>
      </c>
      <c r="H6" s="20" t="str">
        <f aca="false">IF(A6="","",IF(OR(D6="Red",E6="Red"),0.15,IF(G6&gt;=2,0.3,IF(G6=1,0.65,0.9))))</f>
        <v/>
      </c>
      <c r="I6" s="15" t="str">
        <f aca="false">IF(A6="","",IF(G6&gt;=2,"Send value-recap touchpoint this week","Monitor"))</f>
        <v/>
      </c>
    </row>
    <row r="7" customFormat="false" ht="15" hidden="false" customHeight="false" outlineLevel="0" collapsed="false">
      <c r="A7" s="23"/>
      <c r="B7" s="17"/>
      <c r="C7" s="16"/>
      <c r="D7" s="23"/>
      <c r="E7" s="23"/>
      <c r="F7" s="23"/>
      <c r="G7" s="15" t="str">
        <f aca="false">IF(A7="","",COUNTIF(D7:F7,"Yellow")+COUNTIF(D7:F7,"Red"))</f>
        <v/>
      </c>
      <c r="H7" s="20" t="str">
        <f aca="false">IF(A7="","",IF(OR(D7="Red",E7="Red"),0.15,IF(G7&gt;=2,0.3,IF(G7=1,0.65,0.9))))</f>
        <v/>
      </c>
      <c r="I7" s="15" t="str">
        <f aca="false">IF(A7="","",IF(G7&gt;=2,"Send value-recap touchpoint this week","Monitor"))</f>
        <v/>
      </c>
    </row>
    <row r="8" customFormat="false" ht="15" hidden="false" customHeight="false" outlineLevel="0" collapsed="false">
      <c r="A8" s="23"/>
      <c r="B8" s="17"/>
      <c r="C8" s="16"/>
      <c r="D8" s="23"/>
      <c r="E8" s="23"/>
      <c r="F8" s="23"/>
      <c r="G8" s="15" t="str">
        <f aca="false">IF(A8="","",COUNTIF(D8:F8,"Yellow")+COUNTIF(D8:F8,"Red"))</f>
        <v/>
      </c>
      <c r="H8" s="20" t="str">
        <f aca="false">IF(A8="","",IF(OR(D8="Red",E8="Red"),0.15,IF(G8&gt;=2,0.3,IF(G8=1,0.65,0.9))))</f>
        <v/>
      </c>
      <c r="I8" s="15" t="str">
        <f aca="false">IF(A8="","",IF(G8&gt;=2,"Send value-recap touchpoint this week","Monitor"))</f>
        <v/>
      </c>
    </row>
    <row r="9" customFormat="false" ht="15" hidden="false" customHeight="false" outlineLevel="0" collapsed="false">
      <c r="A9" s="23"/>
      <c r="B9" s="17"/>
      <c r="C9" s="16"/>
      <c r="D9" s="23"/>
      <c r="E9" s="23"/>
      <c r="F9" s="23"/>
      <c r="G9" s="15" t="str">
        <f aca="false">IF(A9="","",COUNTIF(D9:F9,"Yellow")+COUNTIF(D9:F9,"Red"))</f>
        <v/>
      </c>
      <c r="H9" s="20" t="str">
        <f aca="false">IF(A9="","",IF(OR(D9="Red",E9="Red"),0.15,IF(G9&gt;=2,0.3,IF(G9=1,0.65,0.9))))</f>
        <v/>
      </c>
      <c r="I9" s="15" t="str">
        <f aca="false">IF(A9="","",IF(G9&gt;=2,"Send value-recap touchpoint this week","Monitor"))</f>
        <v/>
      </c>
    </row>
    <row r="10" customFormat="false" ht="15" hidden="false" customHeight="false" outlineLevel="0" collapsed="false">
      <c r="A10" s="23"/>
      <c r="B10" s="17"/>
      <c r="C10" s="16"/>
      <c r="D10" s="23"/>
      <c r="E10" s="23"/>
      <c r="F10" s="23"/>
      <c r="G10" s="15" t="str">
        <f aca="false">IF(A10="","",COUNTIF(D10:F10,"Yellow")+COUNTIF(D10:F10,"Red"))</f>
        <v/>
      </c>
      <c r="H10" s="20" t="str">
        <f aca="false">IF(A10="","",IF(OR(D10="Red",E10="Red"),0.15,IF(G10&gt;=2,0.3,IF(G10=1,0.65,0.9))))</f>
        <v/>
      </c>
      <c r="I10" s="15" t="str">
        <f aca="false">IF(A10="","",IF(G10&gt;=2,"Send value-recap touchpoint this week","Monitor"))</f>
        <v/>
      </c>
    </row>
    <row r="11" customFormat="false" ht="15" hidden="false" customHeight="false" outlineLevel="0" collapsed="false">
      <c r="A11" s="23"/>
      <c r="B11" s="17"/>
      <c r="C11" s="16"/>
      <c r="D11" s="23"/>
      <c r="E11" s="23"/>
      <c r="F11" s="23"/>
      <c r="G11" s="15" t="str">
        <f aca="false">IF(A11="","",COUNTIF(D11:F11,"Yellow")+COUNTIF(D11:F11,"Red"))</f>
        <v/>
      </c>
      <c r="H11" s="20" t="str">
        <f aca="false">IF(A11="","",IF(OR(D11="Red",E11="Red"),0.15,IF(G11&gt;=2,0.3,IF(G11=1,0.65,0.9))))</f>
        <v/>
      </c>
      <c r="I11" s="15" t="str">
        <f aca="false">IF(A11="","",IF(G11&gt;=2,"Send value-recap touchpoint this week","Monitor"))</f>
        <v/>
      </c>
    </row>
    <row r="12" customFormat="false" ht="15" hidden="false" customHeight="false" outlineLevel="0" collapsed="false">
      <c r="A12" s="23"/>
      <c r="B12" s="17"/>
      <c r="C12" s="16"/>
      <c r="D12" s="23"/>
      <c r="E12" s="23"/>
      <c r="F12" s="23"/>
      <c r="G12" s="15" t="str">
        <f aca="false">IF(A12="","",COUNTIF(D12:F12,"Yellow")+COUNTIF(D12:F12,"Red"))</f>
        <v/>
      </c>
      <c r="H12" s="20" t="str">
        <f aca="false">IF(A12="","",IF(OR(D12="Red",E12="Red"),0.15,IF(G12&gt;=2,0.3,IF(G12=1,0.65,0.9))))</f>
        <v/>
      </c>
      <c r="I12" s="15" t="str">
        <f aca="false">IF(A12="","",IF(G12&gt;=2,"Send value-recap touchpoint this week","Monitor"))</f>
        <v/>
      </c>
    </row>
    <row r="13" customFormat="false" ht="15" hidden="false" customHeight="false" outlineLevel="0" collapsed="false">
      <c r="A13" s="23"/>
      <c r="B13" s="17"/>
      <c r="C13" s="16"/>
      <c r="D13" s="23"/>
      <c r="E13" s="23"/>
      <c r="F13" s="23"/>
      <c r="G13" s="15" t="str">
        <f aca="false">IF(A13="","",COUNTIF(D13:F13,"Yellow")+COUNTIF(D13:F13,"Red"))</f>
        <v/>
      </c>
      <c r="H13" s="20" t="str">
        <f aca="false">IF(A13="","",IF(OR(D13="Red",E13="Red"),0.15,IF(G13&gt;=2,0.3,IF(G13=1,0.65,0.9))))</f>
        <v/>
      </c>
      <c r="I13" s="15" t="str">
        <f aca="false">IF(A13="","",IF(G13&gt;=2,"Send value-recap touchpoint this week","Monitor"))</f>
        <v/>
      </c>
    </row>
    <row r="14" customFormat="false" ht="15" hidden="false" customHeight="false" outlineLevel="0" collapsed="false">
      <c r="A14" s="23"/>
      <c r="B14" s="17"/>
      <c r="C14" s="16"/>
      <c r="D14" s="23"/>
      <c r="E14" s="23"/>
      <c r="F14" s="23"/>
      <c r="G14" s="15" t="str">
        <f aca="false">IF(A14="","",COUNTIF(D14:F14,"Yellow")+COUNTIF(D14:F14,"Red"))</f>
        <v/>
      </c>
      <c r="H14" s="20" t="str">
        <f aca="false">IF(A14="","",IF(OR(D14="Red",E14="Red"),0.15,IF(G14&gt;=2,0.3,IF(G14=1,0.65,0.9))))</f>
        <v/>
      </c>
      <c r="I14" s="15" t="str">
        <f aca="false">IF(A14="","",IF(G14&gt;=2,"Send value-recap touchpoint this week","Monitor"))</f>
        <v/>
      </c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D5:F14" type="list">
      <formula1>"Green,Yellow,Red"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13" t="s">
        <v>100</v>
      </c>
      <c r="B4" s="13"/>
      <c r="C4" s="13"/>
      <c r="D4" s="13"/>
      <c r="E4" s="13"/>
      <c r="F4" s="13"/>
    </row>
    <row r="6" customFormat="false" ht="26.85" hidden="false" customHeight="false" outlineLevel="0" collapsed="false">
      <c r="A6" s="7" t="s">
        <v>101</v>
      </c>
      <c r="B6" s="7" t="s">
        <v>102</v>
      </c>
      <c r="C6" s="7" t="s">
        <v>103</v>
      </c>
      <c r="D6" s="7" t="s">
        <v>104</v>
      </c>
      <c r="E6" s="7" t="s">
        <v>105</v>
      </c>
      <c r="F6" s="7" t="s">
        <v>106</v>
      </c>
    </row>
    <row r="7" customFormat="false" ht="15" hidden="false" customHeight="false" outlineLevel="0" collapsed="false">
      <c r="A7" s="27" t="n">
        <f aca="true">EDATE(TODAY(),-11)</f>
        <v>45930</v>
      </c>
      <c r="B7" s="28" t="n">
        <f aca="false">Assumptions!$B$4+Assumptions!$B$5+Assumptions!$B$6</f>
        <v>10000</v>
      </c>
      <c r="C7" s="17"/>
      <c r="D7" s="17"/>
      <c r="E7" s="20" t="str">
        <f aca="false">IFERROR((C7-D7)/C7,"-")</f>
        <v>-</v>
      </c>
      <c r="F7" s="18" t="str">
        <f aca="false">IFERROR(B7/E7,"-")</f>
        <v>-</v>
      </c>
    </row>
    <row r="8" customFormat="false" ht="15" hidden="false" customHeight="false" outlineLevel="0" collapsed="false">
      <c r="A8" s="27" t="n">
        <f aca="true">EDATE(TODAY(),-10)</f>
        <v>45961</v>
      </c>
      <c r="B8" s="28" t="n">
        <f aca="false">Assumptions!$B$4+Assumptions!$B$5+Assumptions!$B$6</f>
        <v>10000</v>
      </c>
      <c r="C8" s="17"/>
      <c r="D8" s="17"/>
      <c r="E8" s="20" t="str">
        <f aca="false">IFERROR((C8-D8)/C8,"-")</f>
        <v>-</v>
      </c>
      <c r="F8" s="18" t="str">
        <f aca="false">IFERROR(B8/E8,"-")</f>
        <v>-</v>
      </c>
    </row>
    <row r="9" customFormat="false" ht="15" hidden="false" customHeight="false" outlineLevel="0" collapsed="false">
      <c r="A9" s="27" t="n">
        <f aca="true">EDATE(TODAY(),-9)</f>
        <v>45991</v>
      </c>
      <c r="B9" s="28" t="n">
        <f aca="false">Assumptions!$B$4+Assumptions!$B$5+Assumptions!$B$6</f>
        <v>10000</v>
      </c>
      <c r="C9" s="17"/>
      <c r="D9" s="17"/>
      <c r="E9" s="20" t="str">
        <f aca="false">IFERROR((C9-D9)/C9,"-")</f>
        <v>-</v>
      </c>
      <c r="F9" s="18" t="str">
        <f aca="false">IFERROR(B9/E9,"-")</f>
        <v>-</v>
      </c>
    </row>
    <row r="10" customFormat="false" ht="15" hidden="false" customHeight="false" outlineLevel="0" collapsed="false">
      <c r="A10" s="27" t="n">
        <f aca="true">EDATE(TODAY(),-8)</f>
        <v>46022</v>
      </c>
      <c r="B10" s="28" t="n">
        <f aca="false">Assumptions!$B$4+Assumptions!$B$5+Assumptions!$B$6</f>
        <v>10000</v>
      </c>
      <c r="C10" s="17"/>
      <c r="D10" s="17"/>
      <c r="E10" s="20" t="str">
        <f aca="false">IFERROR((C10-D10)/C10,"-")</f>
        <v>-</v>
      </c>
      <c r="F10" s="18" t="str">
        <f aca="false">IFERROR(B10/E10,"-")</f>
        <v>-</v>
      </c>
    </row>
    <row r="11" customFormat="false" ht="15" hidden="false" customHeight="false" outlineLevel="0" collapsed="false">
      <c r="A11" s="27" t="n">
        <f aca="true">EDATE(TODAY(),-7)</f>
        <v>46053</v>
      </c>
      <c r="B11" s="28" t="n">
        <f aca="false">Assumptions!$B$4+Assumptions!$B$5+Assumptions!$B$6</f>
        <v>10000</v>
      </c>
      <c r="C11" s="17"/>
      <c r="D11" s="17"/>
      <c r="E11" s="20" t="str">
        <f aca="false">IFERROR((C11-D11)/C11,"-")</f>
        <v>-</v>
      </c>
      <c r="F11" s="18" t="str">
        <f aca="false">IFERROR(B11/E11,"-")</f>
        <v>-</v>
      </c>
    </row>
    <row r="12" customFormat="false" ht="15" hidden="false" customHeight="false" outlineLevel="0" collapsed="false">
      <c r="A12" s="27" t="n">
        <f aca="true">EDATE(TODAY(),-6)</f>
        <v>46081</v>
      </c>
      <c r="B12" s="28" t="n">
        <f aca="false">Assumptions!$B$4+Assumptions!$B$5+Assumptions!$B$6</f>
        <v>10000</v>
      </c>
      <c r="C12" s="17"/>
      <c r="D12" s="17"/>
      <c r="E12" s="20" t="str">
        <f aca="false">IFERROR((C12-D12)/C12,"-")</f>
        <v>-</v>
      </c>
      <c r="F12" s="18" t="str">
        <f aca="false">IFERROR(B12/E12,"-")</f>
        <v>-</v>
      </c>
    </row>
    <row r="13" customFormat="false" ht="15" hidden="false" customHeight="false" outlineLevel="0" collapsed="false">
      <c r="A13" s="27" t="n">
        <f aca="true">EDATE(TODAY(),-5)</f>
        <v>46112</v>
      </c>
      <c r="B13" s="28" t="n">
        <f aca="false">Assumptions!$B$4+Assumptions!$B$5+Assumptions!$B$6</f>
        <v>10000</v>
      </c>
      <c r="C13" s="17"/>
      <c r="D13" s="17"/>
      <c r="E13" s="20" t="str">
        <f aca="false">IFERROR((C13-D13)/C13,"-")</f>
        <v>-</v>
      </c>
      <c r="F13" s="18" t="str">
        <f aca="false">IFERROR(B13/E13,"-")</f>
        <v>-</v>
      </c>
    </row>
    <row r="14" customFormat="false" ht="15" hidden="false" customHeight="false" outlineLevel="0" collapsed="false">
      <c r="A14" s="27" t="n">
        <f aca="true">EDATE(TODAY(),-4)</f>
        <v>46142</v>
      </c>
      <c r="B14" s="28" t="n">
        <f aca="false">Assumptions!$B$4+Assumptions!$B$5+Assumptions!$B$6</f>
        <v>10000</v>
      </c>
      <c r="C14" s="17"/>
      <c r="D14" s="17"/>
      <c r="E14" s="20" t="str">
        <f aca="false">IFERROR((C14-D14)/C14,"-")</f>
        <v>-</v>
      </c>
      <c r="F14" s="18" t="str">
        <f aca="false">IFERROR(B14/E14,"-")</f>
        <v>-</v>
      </c>
    </row>
    <row r="15" customFormat="false" ht="15" hidden="false" customHeight="false" outlineLevel="0" collapsed="false">
      <c r="A15" s="27" t="n">
        <f aca="true">EDATE(TODAY(),-3)</f>
        <v>46173</v>
      </c>
      <c r="B15" s="28" t="n">
        <f aca="false">Assumptions!$B$4+Assumptions!$B$5+Assumptions!$B$6</f>
        <v>10000</v>
      </c>
      <c r="C15" s="17"/>
      <c r="D15" s="17"/>
      <c r="E15" s="20" t="str">
        <f aca="false">IFERROR((C15-D15)/C15,"-")</f>
        <v>-</v>
      </c>
      <c r="F15" s="18" t="str">
        <f aca="false">IFERROR(B15/E15,"-")</f>
        <v>-</v>
      </c>
    </row>
    <row r="16" customFormat="false" ht="15" hidden="false" customHeight="false" outlineLevel="0" collapsed="false">
      <c r="A16" s="27" t="n">
        <f aca="true">EDATE(TODAY(),-2)</f>
        <v>46203</v>
      </c>
      <c r="B16" s="28" t="n">
        <f aca="false">Assumptions!$B$4+Assumptions!$B$5+Assumptions!$B$6</f>
        <v>10000</v>
      </c>
      <c r="C16" s="17"/>
      <c r="D16" s="17"/>
      <c r="E16" s="20" t="str">
        <f aca="false">IFERROR((C16-D16)/C16,"-")</f>
        <v>-</v>
      </c>
      <c r="F16" s="18" t="str">
        <f aca="false">IFERROR(B16/E16,"-")</f>
        <v>-</v>
      </c>
    </row>
    <row r="17" customFormat="false" ht="15" hidden="false" customHeight="false" outlineLevel="0" collapsed="false">
      <c r="A17" s="27" t="n">
        <f aca="true">EDATE(TODAY(),-1)</f>
        <v>46234</v>
      </c>
      <c r="B17" s="28" t="n">
        <f aca="false">Assumptions!$B$4+Assumptions!$B$5+Assumptions!$B$6</f>
        <v>10000</v>
      </c>
      <c r="C17" s="17"/>
      <c r="D17" s="17"/>
      <c r="E17" s="20" t="str">
        <f aca="false">IFERROR((C17-D17)/C17,"-")</f>
        <v>-</v>
      </c>
      <c r="F17" s="18" t="str">
        <f aca="false">IFERROR(B17/E17,"-")</f>
        <v>-</v>
      </c>
    </row>
    <row r="18" customFormat="false" ht="15" hidden="false" customHeight="false" outlineLevel="0" collapsed="false">
      <c r="A18" s="27" t="n">
        <f aca="true">EDATE(TODAY(),-0)</f>
        <v>46265</v>
      </c>
      <c r="B18" s="28" t="n">
        <f aca="false">Assumptions!$B$4+Assumptions!$B$5+Assumptions!$B$6</f>
        <v>10000</v>
      </c>
      <c r="C18" s="17" t="n">
        <v>12000</v>
      </c>
      <c r="D18" s="17" t="n">
        <v>1400</v>
      </c>
      <c r="E18" s="20" t="n">
        <f aca="false">IFERROR((C18-D18)/C18,"-")</f>
        <v>0.883333333333333</v>
      </c>
      <c r="F18" s="18" t="n">
        <f aca="false">IFERROR(B18/E18,"-")</f>
        <v>11320.7547169811</v>
      </c>
    </row>
    <row r="21" customFormat="false" ht="15" hidden="false" customHeight="false" outlineLevel="0" collapsed="false">
      <c r="A21" s="29" t="s">
        <v>107</v>
      </c>
    </row>
    <row r="22" customFormat="false" ht="15" hidden="false" customHeight="false" outlineLevel="0" collapsed="false">
      <c r="A22" s="30" t="s">
        <v>108</v>
      </c>
    </row>
    <row r="23" customFormat="false" ht="15" hidden="false" customHeight="false" outlineLevel="0" collapsed="false">
      <c r="A23" s="30" t="s">
        <v>109</v>
      </c>
    </row>
    <row r="24" customFormat="false" ht="15" hidden="false" customHeight="false" outlineLevel="0" collapsed="false">
      <c r="A24" s="30" t="s">
        <v>110</v>
      </c>
    </row>
  </sheetData>
  <mergeCells count="2">
    <mergeCell ref="A1:F1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8" min="7" style="0" width="14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112</v>
      </c>
    </row>
    <row r="4" customFormat="false" ht="26.85" hidden="false" customHeight="false" outlineLevel="0" collapsed="false">
      <c r="A4" s="7" t="s">
        <v>67</v>
      </c>
      <c r="B4" s="7" t="s">
        <v>113</v>
      </c>
      <c r="C4" s="7" t="s">
        <v>114</v>
      </c>
      <c r="D4" s="7" t="s">
        <v>115</v>
      </c>
      <c r="E4" s="7" t="s">
        <v>116</v>
      </c>
      <c r="F4" s="7" t="s">
        <v>117</v>
      </c>
      <c r="G4" s="7" t="s">
        <v>118</v>
      </c>
      <c r="H4" s="7" t="s">
        <v>119</v>
      </c>
      <c r="I4" s="7" t="s">
        <v>75</v>
      </c>
    </row>
    <row r="5" customFormat="false" ht="15" hidden="false" customHeight="false" outlineLevel="0" collapsed="false">
      <c r="A5" s="23" t="s">
        <v>76</v>
      </c>
      <c r="B5" s="17" t="n">
        <v>60000</v>
      </c>
      <c r="C5" s="24" t="n">
        <v>165</v>
      </c>
      <c r="D5" s="24" t="n">
        <v>22</v>
      </c>
      <c r="E5" s="24" t="n">
        <v>8</v>
      </c>
      <c r="F5" s="24" t="n">
        <v>6</v>
      </c>
      <c r="G5" s="26" t="n">
        <f aca="false">IFERROR(SUM(C5:F5),"-")</f>
        <v>201</v>
      </c>
      <c r="H5" s="18" t="n">
        <f aca="false">IFERROR(B5/G5,"-")</f>
        <v>298.507462686567</v>
      </c>
      <c r="I5" s="15" t="str">
        <f aca="false">IF(A5="","",IF(H5="-","-",IF(H5&lt;Assumptions!$B$15,"PRICING PROBLEM","OK")))</f>
        <v>OK</v>
      </c>
    </row>
    <row r="6" customFormat="false" ht="15" hidden="false" customHeight="false" outlineLevel="0" collapsed="false">
      <c r="A6" s="23"/>
      <c r="B6" s="17"/>
      <c r="C6" s="24"/>
      <c r="D6" s="24"/>
      <c r="E6" s="24"/>
      <c r="F6" s="24"/>
      <c r="G6" s="26" t="n">
        <f aca="false">IFERROR(SUM(C6:F6),"-")</f>
        <v>0</v>
      </c>
      <c r="H6" s="18" t="str">
        <f aca="false">IFERROR(B6/G6,"-")</f>
        <v>-</v>
      </c>
      <c r="I6" s="15" t="str">
        <f aca="false">IF(A6="","",IF(H6="-","-",IF(H6&lt;Assumptions!$B$15,"PRICING PROBLEM","OK")))</f>
        <v/>
      </c>
    </row>
    <row r="7" customFormat="false" ht="15" hidden="false" customHeight="false" outlineLevel="0" collapsed="false">
      <c r="A7" s="23"/>
      <c r="B7" s="17"/>
      <c r="C7" s="24"/>
      <c r="D7" s="24"/>
      <c r="E7" s="24"/>
      <c r="F7" s="24"/>
      <c r="G7" s="26" t="n">
        <f aca="false">IFERROR(SUM(C7:F7),"-")</f>
        <v>0</v>
      </c>
      <c r="H7" s="18" t="str">
        <f aca="false">IFERROR(B7/G7,"-")</f>
        <v>-</v>
      </c>
      <c r="I7" s="15" t="str">
        <f aca="false">IF(A7="","",IF(H7="-","-",IF(H7&lt;Assumptions!$B$15,"PRICING PROBLEM","OK")))</f>
        <v/>
      </c>
    </row>
    <row r="8" customFormat="false" ht="15" hidden="false" customHeight="false" outlineLevel="0" collapsed="false">
      <c r="A8" s="23"/>
      <c r="B8" s="17"/>
      <c r="C8" s="24"/>
      <c r="D8" s="24"/>
      <c r="E8" s="24"/>
      <c r="F8" s="24"/>
      <c r="G8" s="26" t="n">
        <f aca="false">IFERROR(SUM(C8:F8),"-")</f>
        <v>0</v>
      </c>
      <c r="H8" s="18" t="str">
        <f aca="false">IFERROR(B8/G8,"-")</f>
        <v>-</v>
      </c>
      <c r="I8" s="15" t="str">
        <f aca="false">IF(A8="","",IF(H8="-","-",IF(H8&lt;Assumptions!$B$15,"PRICING PROBLEM","OK")))</f>
        <v/>
      </c>
    </row>
    <row r="9" customFormat="false" ht="15" hidden="false" customHeight="false" outlineLevel="0" collapsed="false">
      <c r="A9" s="23"/>
      <c r="B9" s="17"/>
      <c r="C9" s="24"/>
      <c r="D9" s="24"/>
      <c r="E9" s="24"/>
      <c r="F9" s="24"/>
      <c r="G9" s="26" t="n">
        <f aca="false">IFERROR(SUM(C9:F9),"-")</f>
        <v>0</v>
      </c>
      <c r="H9" s="18" t="str">
        <f aca="false">IFERROR(B9/G9,"-")</f>
        <v>-</v>
      </c>
      <c r="I9" s="15" t="str">
        <f aca="false">IF(A9="","",IF(H9="-","-",IF(H9&lt;Assumptions!$B$15,"PRICING PROBLEM","OK")))</f>
        <v/>
      </c>
    </row>
    <row r="10" customFormat="false" ht="15" hidden="false" customHeight="false" outlineLevel="0" collapsed="false">
      <c r="A10" s="23"/>
      <c r="B10" s="17"/>
      <c r="C10" s="24"/>
      <c r="D10" s="24"/>
      <c r="E10" s="24"/>
      <c r="F10" s="24"/>
      <c r="G10" s="26" t="n">
        <f aca="false">IFERROR(SUM(C10:F10),"-")</f>
        <v>0</v>
      </c>
      <c r="H10" s="18" t="str">
        <f aca="false">IFERROR(B10/G10,"-")</f>
        <v>-</v>
      </c>
      <c r="I10" s="15" t="str">
        <f aca="false">IF(A10="","",IF(H10="-","-",IF(H10&lt;Assumptions!$B$15,"PRICING PROBLEM","OK")))</f>
        <v/>
      </c>
    </row>
    <row r="11" customFormat="false" ht="15" hidden="false" customHeight="false" outlineLevel="0" collapsed="false">
      <c r="A11" s="23"/>
      <c r="B11" s="17"/>
      <c r="C11" s="24"/>
      <c r="D11" s="24"/>
      <c r="E11" s="24"/>
      <c r="F11" s="24"/>
      <c r="G11" s="26" t="n">
        <f aca="false">IFERROR(SUM(C11:F11),"-")</f>
        <v>0</v>
      </c>
      <c r="H11" s="18" t="str">
        <f aca="false">IFERROR(B11/G11,"-")</f>
        <v>-</v>
      </c>
      <c r="I11" s="15" t="str">
        <f aca="false">IF(A11="","",IF(H11="-","-",IF(H11&lt;Assumptions!$B$15,"PRICING PROBLEM","OK")))</f>
        <v/>
      </c>
    </row>
    <row r="12" customFormat="false" ht="15" hidden="false" customHeight="false" outlineLevel="0" collapsed="false">
      <c r="A12" s="23"/>
      <c r="B12" s="17"/>
      <c r="C12" s="24"/>
      <c r="D12" s="24"/>
      <c r="E12" s="24"/>
      <c r="F12" s="24"/>
      <c r="G12" s="26" t="n">
        <f aca="false">IFERROR(SUM(C12:F12),"-")</f>
        <v>0</v>
      </c>
      <c r="H12" s="18" t="str">
        <f aca="false">IFERROR(B12/G12,"-")</f>
        <v>-</v>
      </c>
      <c r="I12" s="15" t="str">
        <f aca="false">IF(A12="","",IF(H12="-","-",IF(H12&lt;Assumptions!$B$15,"PRICING PROBLEM","OK")))</f>
        <v/>
      </c>
    </row>
    <row r="13" customFormat="false" ht="15" hidden="false" customHeight="false" outlineLevel="0" collapsed="false">
      <c r="A13" s="23"/>
      <c r="B13" s="17"/>
      <c r="C13" s="24"/>
      <c r="D13" s="24"/>
      <c r="E13" s="24"/>
      <c r="F13" s="24"/>
      <c r="G13" s="26" t="n">
        <f aca="false">IFERROR(SUM(C13:F13),"-")</f>
        <v>0</v>
      </c>
      <c r="H13" s="18" t="str">
        <f aca="false">IFERROR(B13/G13,"-")</f>
        <v>-</v>
      </c>
      <c r="I13" s="15" t="str">
        <f aca="false">IF(A13="","",IF(H13="-","-",IF(H13&lt;Assumptions!$B$15,"PRICING PROBLEM","OK")))</f>
        <v/>
      </c>
    </row>
    <row r="14" customFormat="false" ht="15" hidden="false" customHeight="false" outlineLevel="0" collapsed="false">
      <c r="A14" s="23"/>
      <c r="B14" s="17"/>
      <c r="C14" s="24"/>
      <c r="D14" s="24"/>
      <c r="E14" s="24"/>
      <c r="F14" s="24"/>
      <c r="G14" s="26" t="n">
        <f aca="false">IFERROR(SUM(C14:F14),"-")</f>
        <v>0</v>
      </c>
      <c r="H14" s="18" t="str">
        <f aca="false">IFERROR(B14/G14,"-")</f>
        <v>-</v>
      </c>
      <c r="I14" s="15" t="str">
        <f aca="false">IF(A14="","",IF(H14="-","-",IF(H14&lt;Assumptions!$B$15,"PRICING PROBLEM","OK")))</f>
        <v/>
      </c>
    </row>
    <row r="15" customFormat="false" ht="15" hidden="false" customHeight="false" outlineLevel="0" collapsed="false">
      <c r="A15" s="23"/>
      <c r="B15" s="17"/>
      <c r="C15" s="24"/>
      <c r="D15" s="24"/>
      <c r="E15" s="24"/>
      <c r="F15" s="24"/>
      <c r="G15" s="26" t="n">
        <f aca="false">IFERROR(SUM(C15:F15),"-")</f>
        <v>0</v>
      </c>
      <c r="H15" s="18" t="str">
        <f aca="false">IFERROR(B15/G15,"-")</f>
        <v>-</v>
      </c>
      <c r="I15" s="15" t="str">
        <f aca="false">IF(A15="","",IF(H15="-","-",IF(H15&lt;Assumptions!$B$15,"PRICING PROBLEM","OK")))</f>
        <v/>
      </c>
    </row>
    <row r="16" customFormat="false" ht="15" hidden="false" customHeight="false" outlineLevel="0" collapsed="false">
      <c r="A16" s="23"/>
      <c r="B16" s="17"/>
      <c r="C16" s="24"/>
      <c r="D16" s="24"/>
      <c r="E16" s="24"/>
      <c r="F16" s="24"/>
      <c r="G16" s="26" t="n">
        <f aca="false">IFERROR(SUM(C16:F16),"-")</f>
        <v>0</v>
      </c>
      <c r="H16" s="18" t="str">
        <f aca="false">IFERROR(B16/G16,"-")</f>
        <v>-</v>
      </c>
      <c r="I16" s="15" t="str">
        <f aca="false">IF(A16="","",IF(H16="-","-",IF(H16&lt;Assumptions!$B$15,"PRICING PROBLEM","OK")))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120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3" t="s">
        <v>122</v>
      </c>
      <c r="B4" s="13"/>
    </row>
    <row r="5" customFormat="false" ht="15" hidden="false" customHeight="false" outlineLevel="0" collapsed="false">
      <c r="A5" s="7" t="s">
        <v>123</v>
      </c>
      <c r="B5" s="7" t="s">
        <v>124</v>
      </c>
    </row>
    <row r="6" customFormat="false" ht="15" hidden="false" customHeight="false" outlineLevel="0" collapsed="false">
      <c r="A6" s="8" t="s">
        <v>125</v>
      </c>
      <c r="B6" s="25" t="n">
        <v>0.1</v>
      </c>
    </row>
    <row r="7" customFormat="false" ht="15" hidden="false" customHeight="false" outlineLevel="0" collapsed="false">
      <c r="A7" s="8" t="s">
        <v>126</v>
      </c>
      <c r="B7" s="25" t="n">
        <v>0.5</v>
      </c>
    </row>
    <row r="8" customFormat="false" ht="15" hidden="false" customHeight="false" outlineLevel="0" collapsed="false">
      <c r="A8" s="8" t="s">
        <v>127</v>
      </c>
      <c r="B8" s="25" t="n">
        <v>0.9</v>
      </c>
    </row>
    <row r="9" customFormat="false" ht="15" hidden="false" customHeight="false" outlineLevel="0" collapsed="false">
      <c r="A9" s="8" t="s">
        <v>128</v>
      </c>
      <c r="B9" s="25" t="n">
        <v>1</v>
      </c>
    </row>
    <row r="12" customFormat="false" ht="15" hidden="false" customHeight="false" outlineLevel="0" collapsed="false">
      <c r="A12" s="13" t="s">
        <v>129</v>
      </c>
      <c r="B12" s="13"/>
      <c r="C12" s="13"/>
      <c r="D12" s="13"/>
      <c r="E12" s="13"/>
      <c r="F12" s="13"/>
    </row>
    <row r="13" customFormat="false" ht="26.85" hidden="false" customHeight="false" outlineLevel="0" collapsed="false">
      <c r="A13" s="7" t="s">
        <v>130</v>
      </c>
      <c r="B13" s="7" t="s">
        <v>131</v>
      </c>
      <c r="C13" s="7" t="s">
        <v>123</v>
      </c>
      <c r="D13" s="7" t="s">
        <v>124</v>
      </c>
      <c r="E13" s="7" t="s">
        <v>132</v>
      </c>
      <c r="F13" s="7" t="s">
        <v>133</v>
      </c>
    </row>
    <row r="14" customFormat="false" ht="15" hidden="false" customHeight="false" outlineLevel="0" collapsed="false">
      <c r="A14" s="23" t="s">
        <v>134</v>
      </c>
      <c r="B14" s="17" t="n">
        <v>18000</v>
      </c>
      <c r="C14" s="23" t="s">
        <v>126</v>
      </c>
      <c r="D14" s="20" t="n">
        <f aca="false">IFERROR(INDEX($B$6:$B$9,MATCH(C14,$A$6:$A$9,0)),"-")</f>
        <v>0.5</v>
      </c>
      <c r="E14" s="18" t="n">
        <f aca="false">IFERROR(B14*D14,"-")</f>
        <v>9000</v>
      </c>
      <c r="F14" s="23" t="n">
        <v>4</v>
      </c>
    </row>
    <row r="15" customFormat="false" ht="15" hidden="false" customHeight="false" outlineLevel="0" collapsed="false">
      <c r="A15" s="23"/>
      <c r="B15" s="17"/>
      <c r="C15" s="23"/>
      <c r="D15" s="20" t="str">
        <f aca="false">IFERROR(INDEX($B$6:$B$9,MATCH(C15,$A$6:$A$9,0)),"-")</f>
        <v>-</v>
      </c>
      <c r="E15" s="18" t="str">
        <f aca="false">IFERROR(B15*D15,"-")</f>
        <v>-</v>
      </c>
      <c r="F15" s="23"/>
    </row>
    <row r="16" customFormat="false" ht="15" hidden="false" customHeight="false" outlineLevel="0" collapsed="false">
      <c r="A16" s="23"/>
      <c r="B16" s="17"/>
      <c r="C16" s="23"/>
      <c r="D16" s="20" t="str">
        <f aca="false">IFERROR(INDEX($B$6:$B$9,MATCH(C16,$A$6:$A$9,0)),"-")</f>
        <v>-</v>
      </c>
      <c r="E16" s="18" t="str">
        <f aca="false">IFERROR(B16*D16,"-")</f>
        <v>-</v>
      </c>
      <c r="F16" s="23"/>
    </row>
    <row r="17" customFormat="false" ht="15" hidden="false" customHeight="false" outlineLevel="0" collapsed="false">
      <c r="A17" s="23"/>
      <c r="B17" s="17"/>
      <c r="C17" s="23"/>
      <c r="D17" s="20" t="str">
        <f aca="false">IFERROR(INDEX($B$6:$B$9,MATCH(C17,$A$6:$A$9,0)),"-")</f>
        <v>-</v>
      </c>
      <c r="E17" s="18" t="str">
        <f aca="false">IFERROR(B17*D17,"-")</f>
        <v>-</v>
      </c>
      <c r="F17" s="23"/>
    </row>
    <row r="18" customFormat="false" ht="15" hidden="false" customHeight="false" outlineLevel="0" collapsed="false">
      <c r="A18" s="23"/>
      <c r="B18" s="17"/>
      <c r="C18" s="23"/>
      <c r="D18" s="20" t="str">
        <f aca="false">IFERROR(INDEX($B$6:$B$9,MATCH(C18,$A$6:$A$9,0)),"-")</f>
        <v>-</v>
      </c>
      <c r="E18" s="18" t="str">
        <f aca="false">IFERROR(B18*D18,"-")</f>
        <v>-</v>
      </c>
      <c r="F18" s="23"/>
    </row>
    <row r="19" customFormat="false" ht="15" hidden="false" customHeight="false" outlineLevel="0" collapsed="false">
      <c r="A19" s="23"/>
      <c r="B19" s="17"/>
      <c r="C19" s="23"/>
      <c r="D19" s="20" t="str">
        <f aca="false">IFERROR(INDEX($B$6:$B$9,MATCH(C19,$A$6:$A$9,0)),"-")</f>
        <v>-</v>
      </c>
      <c r="E19" s="18" t="str">
        <f aca="false">IFERROR(B19*D19,"-")</f>
        <v>-</v>
      </c>
      <c r="F19" s="23"/>
    </row>
    <row r="20" customFormat="false" ht="15" hidden="false" customHeight="false" outlineLevel="0" collapsed="false">
      <c r="A20" s="23"/>
      <c r="B20" s="17"/>
      <c r="C20" s="23"/>
      <c r="D20" s="20" t="str">
        <f aca="false">IFERROR(INDEX($B$6:$B$9,MATCH(C20,$A$6:$A$9,0)),"-")</f>
        <v>-</v>
      </c>
      <c r="E20" s="18" t="str">
        <f aca="false">IFERROR(B20*D20,"-")</f>
        <v>-</v>
      </c>
      <c r="F20" s="23"/>
    </row>
    <row r="21" customFormat="false" ht="15" hidden="false" customHeight="false" outlineLevel="0" collapsed="false">
      <c r="A21" s="23"/>
      <c r="B21" s="17"/>
      <c r="C21" s="23"/>
      <c r="D21" s="20" t="str">
        <f aca="false">IFERROR(INDEX($B$6:$B$9,MATCH(C21,$A$6:$A$9,0)),"-")</f>
        <v>-</v>
      </c>
      <c r="E21" s="18" t="str">
        <f aca="false">IFERROR(B21*D21,"-")</f>
        <v>-</v>
      </c>
      <c r="F21" s="23"/>
    </row>
    <row r="22" customFormat="false" ht="15" hidden="false" customHeight="false" outlineLevel="0" collapsed="false">
      <c r="A22" s="23"/>
      <c r="B22" s="17"/>
      <c r="C22" s="23"/>
      <c r="D22" s="20" t="str">
        <f aca="false">IFERROR(INDEX($B$6:$B$9,MATCH(C22,$A$6:$A$9,0)),"-")</f>
        <v>-</v>
      </c>
      <c r="E22" s="18" t="str">
        <f aca="false">IFERROR(B22*D22,"-")</f>
        <v>-</v>
      </c>
      <c r="F22" s="23"/>
    </row>
    <row r="23" customFormat="false" ht="15" hidden="false" customHeight="false" outlineLevel="0" collapsed="false">
      <c r="A23" s="23"/>
      <c r="B23" s="17"/>
      <c r="C23" s="23"/>
      <c r="D23" s="20" t="str">
        <f aca="false">IFERROR(INDEX($B$6:$B$9,MATCH(C23,$A$6:$A$9,0)),"-")</f>
        <v>-</v>
      </c>
      <c r="E23" s="18" t="str">
        <f aca="false">IFERROR(B23*D23,"-")</f>
        <v>-</v>
      </c>
      <c r="F23" s="23"/>
    </row>
    <row r="24" customFormat="false" ht="15" hidden="false" customHeight="false" outlineLevel="0" collapsed="false">
      <c r="A24" s="23"/>
      <c r="B24" s="17"/>
      <c r="C24" s="23"/>
      <c r="D24" s="20" t="str">
        <f aca="false">IFERROR(INDEX($B$6:$B$9,MATCH(C24,$A$6:$A$9,0)),"-")</f>
        <v>-</v>
      </c>
      <c r="E24" s="18" t="str">
        <f aca="false">IFERROR(B24*D24,"-")</f>
        <v>-</v>
      </c>
      <c r="F24" s="23"/>
    </row>
    <row r="25" customFormat="false" ht="15" hidden="false" customHeight="false" outlineLevel="0" collapsed="false">
      <c r="A25" s="23"/>
      <c r="B25" s="17"/>
      <c r="C25" s="23"/>
      <c r="D25" s="20" t="str">
        <f aca="false">IFERROR(INDEX($B$6:$B$9,MATCH(C25,$A$6:$A$9,0)),"-")</f>
        <v>-</v>
      </c>
      <c r="E25" s="18" t="str">
        <f aca="false">IFERROR(B25*D25,"-")</f>
        <v>-</v>
      </c>
      <c r="F25" s="23"/>
    </row>
    <row r="28" customFormat="false" ht="15" hidden="false" customHeight="false" outlineLevel="0" collapsed="false">
      <c r="A28" s="13" t="s">
        <v>135</v>
      </c>
      <c r="B28" s="13"/>
      <c r="C28" s="13"/>
      <c r="D28" s="13"/>
      <c r="E28" s="13"/>
      <c r="F28" s="13"/>
    </row>
    <row r="29" customFormat="false" ht="26.85" hidden="false" customHeight="false" outlineLevel="0" collapsed="false">
      <c r="A29" s="7" t="s">
        <v>86</v>
      </c>
      <c r="B29" s="7" t="s">
        <v>87</v>
      </c>
      <c r="C29" s="7" t="s">
        <v>93</v>
      </c>
      <c r="D29" s="7" t="s">
        <v>132</v>
      </c>
      <c r="E29" s="7"/>
      <c r="F29" s="7" t="s">
        <v>133</v>
      </c>
    </row>
    <row r="30" customFormat="false" ht="15" hidden="false" customHeight="false" outlineLevel="0" collapsed="false">
      <c r="A30" s="31" t="str">
        <f aca="false">'5. Weekly - Retainer Risk'!A5</f>
        <v>Beta Industries — Monthly Advisory</v>
      </c>
      <c r="B30" s="28" t="n">
        <f aca="false">IF('5. Weekly - Retainer Risk'!A5="","",'5. Weekly - Retainer Risk'!B5)</f>
        <v>4000</v>
      </c>
      <c r="C30" s="32" t="n">
        <f aca="false">IF('5. Weekly - Retainer Risk'!A5="","",'5. Weekly - Retainer Risk'!H5)</f>
        <v>0.3</v>
      </c>
      <c r="D30" s="18" t="n">
        <f aca="false">IFERROR(B30*C30,"-")</f>
        <v>1200</v>
      </c>
      <c r="E30" s="15"/>
      <c r="F30" s="23" t="n">
        <v>4</v>
      </c>
    </row>
    <row r="31" customFormat="false" ht="15" hidden="false" customHeight="false" outlineLevel="0" collapsed="false">
      <c r="A31" s="31" t="n">
        <f aca="false">'5. Weekly - Retainer Risk'!A6</f>
        <v>0</v>
      </c>
      <c r="B31" s="28" t="str">
        <f aca="false">IF('5. Weekly - Retainer Risk'!A6="","",'5. Weekly - Retainer Risk'!B6)</f>
        <v/>
      </c>
      <c r="C31" s="32" t="str">
        <f aca="false">IF('5. Weekly - Retainer Risk'!A6="","",'5. Weekly - Retainer Risk'!H6)</f>
        <v/>
      </c>
      <c r="D31" s="18" t="str">
        <f aca="false">IFERROR(B31*C31,"-")</f>
        <v>-</v>
      </c>
      <c r="E31" s="15"/>
      <c r="F31" s="23"/>
    </row>
    <row r="32" customFormat="false" ht="15" hidden="false" customHeight="false" outlineLevel="0" collapsed="false">
      <c r="A32" s="31" t="n">
        <f aca="false">'5. Weekly - Retainer Risk'!A7</f>
        <v>0</v>
      </c>
      <c r="B32" s="28" t="str">
        <f aca="false">IF('5. Weekly - Retainer Risk'!A7="","",'5. Weekly - Retainer Risk'!B7)</f>
        <v/>
      </c>
      <c r="C32" s="32" t="str">
        <f aca="false">IF('5. Weekly - Retainer Risk'!A7="","",'5. Weekly - Retainer Risk'!H7)</f>
        <v/>
      </c>
      <c r="D32" s="18" t="str">
        <f aca="false">IFERROR(B32*C32,"-")</f>
        <v>-</v>
      </c>
      <c r="E32" s="15"/>
      <c r="F32" s="23"/>
    </row>
    <row r="33" customFormat="false" ht="15" hidden="false" customHeight="false" outlineLevel="0" collapsed="false">
      <c r="A33" s="31" t="n">
        <f aca="false">'5. Weekly - Retainer Risk'!A8</f>
        <v>0</v>
      </c>
      <c r="B33" s="28" t="str">
        <f aca="false">IF('5. Weekly - Retainer Risk'!A8="","",'5. Weekly - Retainer Risk'!B8)</f>
        <v/>
      </c>
      <c r="C33" s="32" t="str">
        <f aca="false">IF('5. Weekly - Retainer Risk'!A8="","",'5. Weekly - Retainer Risk'!H8)</f>
        <v/>
      </c>
      <c r="D33" s="18" t="str">
        <f aca="false">IFERROR(B33*C33,"-")</f>
        <v>-</v>
      </c>
      <c r="E33" s="15"/>
      <c r="F33" s="23"/>
    </row>
    <row r="34" customFormat="false" ht="15" hidden="false" customHeight="false" outlineLevel="0" collapsed="false">
      <c r="A34" s="31" t="n">
        <f aca="false">'5. Weekly - Retainer Risk'!A9</f>
        <v>0</v>
      </c>
      <c r="B34" s="28" t="str">
        <f aca="false">IF('5. Weekly - Retainer Risk'!A9="","",'5. Weekly - Retainer Risk'!B9)</f>
        <v/>
      </c>
      <c r="C34" s="32" t="str">
        <f aca="false">IF('5. Weekly - Retainer Risk'!A9="","",'5. Weekly - Retainer Risk'!H9)</f>
        <v/>
      </c>
      <c r="D34" s="18" t="str">
        <f aca="false">IFERROR(B34*C34,"-")</f>
        <v>-</v>
      </c>
      <c r="E34" s="15"/>
      <c r="F34" s="23"/>
    </row>
    <row r="35" customFormat="false" ht="15" hidden="false" customHeight="false" outlineLevel="0" collapsed="false">
      <c r="A35" s="31" t="n">
        <f aca="false">'5. Weekly - Retainer Risk'!A10</f>
        <v>0</v>
      </c>
      <c r="B35" s="28" t="str">
        <f aca="false">IF('5. Weekly - Retainer Risk'!A10="","",'5. Weekly - Retainer Risk'!B10)</f>
        <v/>
      </c>
      <c r="C35" s="32" t="str">
        <f aca="false">IF('5. Weekly - Retainer Risk'!A10="","",'5. Weekly - Retainer Risk'!H10)</f>
        <v/>
      </c>
      <c r="D35" s="18" t="str">
        <f aca="false">IFERROR(B35*C35,"-")</f>
        <v>-</v>
      </c>
      <c r="E35" s="15"/>
      <c r="F35" s="23"/>
    </row>
    <row r="36" customFormat="false" ht="15" hidden="false" customHeight="false" outlineLevel="0" collapsed="false">
      <c r="A36" s="31" t="n">
        <f aca="false">'5. Weekly - Retainer Risk'!A11</f>
        <v>0</v>
      </c>
      <c r="B36" s="28" t="str">
        <f aca="false">IF('5. Weekly - Retainer Risk'!A11="","",'5. Weekly - Retainer Risk'!B11)</f>
        <v/>
      </c>
      <c r="C36" s="32" t="str">
        <f aca="false">IF('5. Weekly - Retainer Risk'!A11="","",'5. Weekly - Retainer Risk'!H11)</f>
        <v/>
      </c>
      <c r="D36" s="18" t="str">
        <f aca="false">IFERROR(B36*C36,"-")</f>
        <v>-</v>
      </c>
      <c r="E36" s="15"/>
      <c r="F36" s="23"/>
    </row>
    <row r="37" customFormat="false" ht="15" hidden="false" customHeight="false" outlineLevel="0" collapsed="false">
      <c r="A37" s="31" t="n">
        <f aca="false">'5. Weekly - Retainer Risk'!A12</f>
        <v>0</v>
      </c>
      <c r="B37" s="28" t="str">
        <f aca="false">IF('5. Weekly - Retainer Risk'!A12="","",'5. Weekly - Retainer Risk'!B12)</f>
        <v/>
      </c>
      <c r="C37" s="32" t="str">
        <f aca="false">IF('5. Weekly - Retainer Risk'!A12="","",'5. Weekly - Retainer Risk'!H12)</f>
        <v/>
      </c>
      <c r="D37" s="18" t="str">
        <f aca="false">IFERROR(B37*C37,"-")</f>
        <v>-</v>
      </c>
      <c r="E37" s="15"/>
      <c r="F37" s="23"/>
    </row>
    <row r="38" customFormat="false" ht="15" hidden="false" customHeight="false" outlineLevel="0" collapsed="false">
      <c r="A38" s="31" t="n">
        <f aca="false">'5. Weekly - Retainer Risk'!A13</f>
        <v>0</v>
      </c>
      <c r="B38" s="28" t="str">
        <f aca="false">IF('5. Weekly - Retainer Risk'!A13="","",'5. Weekly - Retainer Risk'!B13)</f>
        <v/>
      </c>
      <c r="C38" s="32" t="str">
        <f aca="false">IF('5. Weekly - Retainer Risk'!A13="","",'5. Weekly - Retainer Risk'!H13)</f>
        <v/>
      </c>
      <c r="D38" s="18" t="str">
        <f aca="false">IFERROR(B38*C38,"-")</f>
        <v>-</v>
      </c>
      <c r="E38" s="15"/>
      <c r="F38" s="23"/>
    </row>
    <row r="39" customFormat="false" ht="15" hidden="false" customHeight="false" outlineLevel="0" collapsed="false">
      <c r="A39" s="31" t="n">
        <f aca="false">'5. Weekly - Retainer Risk'!A14</f>
        <v>0</v>
      </c>
      <c r="B39" s="28" t="str">
        <f aca="false">IF('5. Weekly - Retainer Risk'!A14="","",'5. Weekly - Retainer Risk'!B14)</f>
        <v/>
      </c>
      <c r="C39" s="32" t="str">
        <f aca="false">IF('5. Weekly - Retainer Risk'!A14="","",'5. Weekly - Retainer Risk'!H14)</f>
        <v/>
      </c>
      <c r="D39" s="18" t="str">
        <f aca="false">IFERROR(B39*C39,"-")</f>
        <v>-</v>
      </c>
      <c r="E39" s="15"/>
      <c r="F39" s="23"/>
    </row>
  </sheetData>
  <mergeCells count="4">
    <mergeCell ref="A1:F1"/>
    <mergeCell ref="A4:B4"/>
    <mergeCell ref="A12:F12"/>
    <mergeCell ref="A28:F28"/>
  </mergeCells>
  <dataValidations count="1">
    <dataValidation allowBlank="true" errorStyle="stop" operator="between" showDropDown="false" showErrorMessage="false" showInputMessage="false" sqref="C14:C25" type="list">
      <formula1>$A$6:$A$9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10" min="8" style="0" width="18"/>
  </cols>
  <sheetData>
    <row r="1" customFormat="false" ht="19.7" hidden="false" customHeight="fals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13" t="s">
        <v>138</v>
      </c>
      <c r="B4" s="13"/>
    </row>
    <row r="5" customFormat="false" ht="15" hidden="false" customHeight="false" outlineLevel="0" collapsed="false">
      <c r="A5" s="8" t="s">
        <v>139</v>
      </c>
      <c r="B5" s="9" t="n">
        <v>42000</v>
      </c>
      <c r="D5" s="30" t="s">
        <v>140</v>
      </c>
      <c r="F5" s="33" t="n">
        <f aca="false">Assumptions!$B$4*4+Assumptions!$B$5*4+Assumptions!$B$6*4</f>
        <v>40000</v>
      </c>
    </row>
    <row r="7" customFormat="false" ht="26.85" hidden="false" customHeight="false" outlineLevel="0" collapsed="false">
      <c r="A7" s="7" t="s">
        <v>141</v>
      </c>
      <c r="B7" s="7" t="s">
        <v>142</v>
      </c>
      <c r="C7" s="7" t="s">
        <v>143</v>
      </c>
      <c r="D7" s="7" t="s">
        <v>144</v>
      </c>
      <c r="E7" s="7" t="s">
        <v>145</v>
      </c>
      <c r="F7" s="7" t="s">
        <v>146</v>
      </c>
      <c r="G7" s="7" t="s">
        <v>147</v>
      </c>
      <c r="H7" s="7" t="s">
        <v>148</v>
      </c>
      <c r="I7" s="7" t="s">
        <v>149</v>
      </c>
      <c r="J7" s="7" t="s">
        <v>150</v>
      </c>
    </row>
    <row r="8" customFormat="false" ht="15" hidden="false" customHeight="false" outlineLevel="0" collapsed="false">
      <c r="A8" s="8" t="n">
        <v>1</v>
      </c>
      <c r="B8" s="34" t="n">
        <f aca="true">TODAY()</f>
        <v>46265</v>
      </c>
      <c r="C8" s="17"/>
      <c r="D8" s="28" t="n">
        <f aca="false">(Assumptions!$B$4+Assumptions!$B$5+Assumptions!$B$6)/4.33</f>
        <v>2309.4688221709</v>
      </c>
      <c r="E8" s="18" t="n">
        <f aca="false">SUMIFS('8. 13-Week Pipeline'!$E$14:$E$25,'8. 13-Week Pipeline'!$F$14:$F$25,A8)</f>
        <v>0</v>
      </c>
      <c r="F8" s="18" t="n">
        <f aca="false">SUMIFS('8. 13-Week Pipeline'!$D$30:$D$39,'8. 13-Week Pipeline'!$F$30:$F$39,A8)</f>
        <v>0</v>
      </c>
      <c r="G8" s="18" t="n">
        <f aca="false">SUMIFS('8. 13-Week Pipeline'!$B$14:$B$25,'8. 13-Week Pipeline'!$F$14:$F$25,A8)+SUMIFS('8. 13-Week Pipeline'!$B$30:$B$39,'8. 13-Week Pipeline'!$F$30:$F$39,A8)</f>
        <v>0</v>
      </c>
      <c r="H8" s="18" t="n">
        <f aca="false">$B$5+C8-D8</f>
        <v>39690.5311778291</v>
      </c>
      <c r="I8" s="18" t="n">
        <f aca="false">$B$5+C8-D8+E8+F8</f>
        <v>39690.5311778291</v>
      </c>
      <c r="J8" s="18" t="n">
        <f aca="false">$B$5+C8-D8+G8</f>
        <v>39690.5311778291</v>
      </c>
    </row>
    <row r="9" customFormat="false" ht="15" hidden="false" customHeight="false" outlineLevel="0" collapsed="false">
      <c r="A9" s="8" t="n">
        <v>2</v>
      </c>
      <c r="B9" s="34" t="n">
        <f aca="false">B8+7</f>
        <v>46272</v>
      </c>
      <c r="C9" s="17"/>
      <c r="D9" s="28" t="n">
        <f aca="false">(Assumptions!$B$4+Assumptions!$B$5+Assumptions!$B$6)/4.33</f>
        <v>2309.4688221709</v>
      </c>
      <c r="E9" s="18" t="n">
        <f aca="false">SUMIFS('8. 13-Week Pipeline'!$E$14:$E$25,'8. 13-Week Pipeline'!$F$14:$F$25,A9)</f>
        <v>0</v>
      </c>
      <c r="F9" s="18" t="n">
        <f aca="false">SUMIFS('8. 13-Week Pipeline'!$D$30:$D$39,'8. 13-Week Pipeline'!$F$30:$F$39,A9)</f>
        <v>0</v>
      </c>
      <c r="G9" s="18" t="n">
        <f aca="false">SUMIFS('8. 13-Week Pipeline'!$B$14:$B$25,'8. 13-Week Pipeline'!$F$14:$F$25,A9)+SUMIFS('8. 13-Week Pipeline'!$B$30:$B$39,'8. 13-Week Pipeline'!$F$30:$F$39,A9)</f>
        <v>0</v>
      </c>
      <c r="H9" s="18" t="n">
        <f aca="false">H8+C9-D9</f>
        <v>37381.0623556582</v>
      </c>
      <c r="I9" s="18" t="n">
        <f aca="false">I8+C9-D9+E9+F9</f>
        <v>37381.0623556582</v>
      </c>
      <c r="J9" s="18" t="n">
        <f aca="false">J8+C9-D9+G9</f>
        <v>37381.0623556582</v>
      </c>
    </row>
    <row r="10" customFormat="false" ht="15" hidden="false" customHeight="false" outlineLevel="0" collapsed="false">
      <c r="A10" s="8" t="n">
        <v>3</v>
      </c>
      <c r="B10" s="34" t="n">
        <f aca="false">B9+7</f>
        <v>46279</v>
      </c>
      <c r="C10" s="17"/>
      <c r="D10" s="28" t="n">
        <f aca="false">(Assumptions!$B$4+Assumptions!$B$5+Assumptions!$B$6)/4.33</f>
        <v>2309.4688221709</v>
      </c>
      <c r="E10" s="18" t="n">
        <f aca="false">SUMIFS('8. 13-Week Pipeline'!$E$14:$E$25,'8. 13-Week Pipeline'!$F$14:$F$25,A10)</f>
        <v>0</v>
      </c>
      <c r="F10" s="18" t="n">
        <f aca="false">SUMIFS('8. 13-Week Pipeline'!$D$30:$D$39,'8. 13-Week Pipeline'!$F$30:$F$39,A10)</f>
        <v>0</v>
      </c>
      <c r="G10" s="18" t="n">
        <f aca="false">SUMIFS('8. 13-Week Pipeline'!$B$14:$B$25,'8. 13-Week Pipeline'!$F$14:$F$25,A10)+SUMIFS('8. 13-Week Pipeline'!$B$30:$B$39,'8. 13-Week Pipeline'!$F$30:$F$39,A10)</f>
        <v>0</v>
      </c>
      <c r="H10" s="18" t="n">
        <f aca="false">H9+C10-D10</f>
        <v>35071.5935334873</v>
      </c>
      <c r="I10" s="18" t="n">
        <f aca="false">I9+C10-D10+E10+F10</f>
        <v>35071.5935334873</v>
      </c>
      <c r="J10" s="18" t="n">
        <f aca="false">J9+C10-D10+G10</f>
        <v>35071.5935334873</v>
      </c>
    </row>
    <row r="11" customFormat="false" ht="15" hidden="false" customHeight="false" outlineLevel="0" collapsed="false">
      <c r="A11" s="8" t="n">
        <v>4</v>
      </c>
      <c r="B11" s="34" t="n">
        <f aca="false">B10+7</f>
        <v>46286</v>
      </c>
      <c r="C11" s="17"/>
      <c r="D11" s="28" t="n">
        <f aca="false">(Assumptions!$B$4+Assumptions!$B$5+Assumptions!$B$6)/4.33</f>
        <v>2309.4688221709</v>
      </c>
      <c r="E11" s="18" t="n">
        <f aca="false">SUMIFS('8. 13-Week Pipeline'!$E$14:$E$25,'8. 13-Week Pipeline'!$F$14:$F$25,A11)</f>
        <v>9000</v>
      </c>
      <c r="F11" s="18" t="n">
        <f aca="false">SUMIFS('8. 13-Week Pipeline'!$D$30:$D$39,'8. 13-Week Pipeline'!$F$30:$F$39,A11)</f>
        <v>1200</v>
      </c>
      <c r="G11" s="18" t="n">
        <f aca="false">SUMIFS('8. 13-Week Pipeline'!$B$14:$B$25,'8. 13-Week Pipeline'!$F$14:$F$25,A11)+SUMIFS('8. 13-Week Pipeline'!$B$30:$B$39,'8. 13-Week Pipeline'!$F$30:$F$39,A11)</f>
        <v>22000</v>
      </c>
      <c r="H11" s="18" t="n">
        <f aca="false">H10+C11-D11</f>
        <v>32762.1247113164</v>
      </c>
      <c r="I11" s="18" t="n">
        <f aca="false">I10+C11-D11+E11+F11</f>
        <v>42962.1247113164</v>
      </c>
      <c r="J11" s="18" t="n">
        <f aca="false">J10+C11-D11+G11</f>
        <v>54762.1247113164</v>
      </c>
    </row>
    <row r="12" customFormat="false" ht="15" hidden="false" customHeight="false" outlineLevel="0" collapsed="false">
      <c r="A12" s="8" t="n">
        <v>5</v>
      </c>
      <c r="B12" s="34" t="n">
        <f aca="false">B11+7</f>
        <v>46293</v>
      </c>
      <c r="C12" s="17"/>
      <c r="D12" s="28" t="n">
        <f aca="false">(Assumptions!$B$4+Assumptions!$B$5+Assumptions!$B$6)/4.33</f>
        <v>2309.4688221709</v>
      </c>
      <c r="E12" s="18" t="n">
        <f aca="false">SUMIFS('8. 13-Week Pipeline'!$E$14:$E$25,'8. 13-Week Pipeline'!$F$14:$F$25,A12)</f>
        <v>0</v>
      </c>
      <c r="F12" s="18" t="n">
        <f aca="false">SUMIFS('8. 13-Week Pipeline'!$D$30:$D$39,'8. 13-Week Pipeline'!$F$30:$F$39,A12)</f>
        <v>0</v>
      </c>
      <c r="G12" s="18" t="n">
        <f aca="false">SUMIFS('8. 13-Week Pipeline'!$B$14:$B$25,'8. 13-Week Pipeline'!$F$14:$F$25,A12)+SUMIFS('8. 13-Week Pipeline'!$B$30:$B$39,'8. 13-Week Pipeline'!$F$30:$F$39,A12)</f>
        <v>0</v>
      </c>
      <c r="H12" s="18" t="n">
        <f aca="false">H11+C12-D12</f>
        <v>30452.6558891455</v>
      </c>
      <c r="I12" s="18" t="n">
        <f aca="false">I11+C12-D12+E12+F12</f>
        <v>40652.6558891455</v>
      </c>
      <c r="J12" s="18" t="n">
        <f aca="false">J11+C12-D12+G12</f>
        <v>52452.6558891455</v>
      </c>
    </row>
    <row r="13" customFormat="false" ht="15" hidden="false" customHeight="false" outlineLevel="0" collapsed="false">
      <c r="A13" s="8" t="n">
        <v>6</v>
      </c>
      <c r="B13" s="34" t="n">
        <f aca="false">B12+7</f>
        <v>46300</v>
      </c>
      <c r="C13" s="17"/>
      <c r="D13" s="28" t="n">
        <f aca="false">(Assumptions!$B$4+Assumptions!$B$5+Assumptions!$B$6)/4.33</f>
        <v>2309.4688221709</v>
      </c>
      <c r="E13" s="18" t="n">
        <f aca="false">SUMIFS('8. 13-Week Pipeline'!$E$14:$E$25,'8. 13-Week Pipeline'!$F$14:$F$25,A13)</f>
        <v>0</v>
      </c>
      <c r="F13" s="18" t="n">
        <f aca="false">SUMIFS('8. 13-Week Pipeline'!$D$30:$D$39,'8. 13-Week Pipeline'!$F$30:$F$39,A13)</f>
        <v>0</v>
      </c>
      <c r="G13" s="18" t="n">
        <f aca="false">SUMIFS('8. 13-Week Pipeline'!$B$14:$B$25,'8. 13-Week Pipeline'!$F$14:$F$25,A13)+SUMIFS('8. 13-Week Pipeline'!$B$30:$B$39,'8. 13-Week Pipeline'!$F$30:$F$39,A13)</f>
        <v>0</v>
      </c>
      <c r="H13" s="18" t="n">
        <f aca="false">H12+C13-D13</f>
        <v>28143.1870669746</v>
      </c>
      <c r="I13" s="18" t="n">
        <f aca="false">I12+C13-D13+E13+F13</f>
        <v>38343.1870669746</v>
      </c>
      <c r="J13" s="18" t="n">
        <f aca="false">J12+C13-D13+G13</f>
        <v>50143.1870669746</v>
      </c>
    </row>
    <row r="14" customFormat="false" ht="15" hidden="false" customHeight="false" outlineLevel="0" collapsed="false">
      <c r="A14" s="8" t="n">
        <v>7</v>
      </c>
      <c r="B14" s="34" t="n">
        <f aca="false">B13+7</f>
        <v>46307</v>
      </c>
      <c r="C14" s="17"/>
      <c r="D14" s="28" t="n">
        <f aca="false">(Assumptions!$B$4+Assumptions!$B$5+Assumptions!$B$6)/4.33</f>
        <v>2309.4688221709</v>
      </c>
      <c r="E14" s="18" t="n">
        <f aca="false">SUMIFS('8. 13-Week Pipeline'!$E$14:$E$25,'8. 13-Week Pipeline'!$F$14:$F$25,A14)</f>
        <v>0</v>
      </c>
      <c r="F14" s="18" t="n">
        <f aca="false">SUMIFS('8. 13-Week Pipeline'!$D$30:$D$39,'8. 13-Week Pipeline'!$F$30:$F$39,A14)</f>
        <v>0</v>
      </c>
      <c r="G14" s="18" t="n">
        <f aca="false">SUMIFS('8. 13-Week Pipeline'!$B$14:$B$25,'8. 13-Week Pipeline'!$F$14:$F$25,A14)+SUMIFS('8. 13-Week Pipeline'!$B$30:$B$39,'8. 13-Week Pipeline'!$F$30:$F$39,A14)</f>
        <v>0</v>
      </c>
      <c r="H14" s="18" t="n">
        <f aca="false">H13+C14-D14</f>
        <v>25833.7182448037</v>
      </c>
      <c r="I14" s="18" t="n">
        <f aca="false">I13+C14-D14+E14+F14</f>
        <v>36033.7182448037</v>
      </c>
      <c r="J14" s="18" t="n">
        <f aca="false">J13+C14-D14+G14</f>
        <v>47833.7182448037</v>
      </c>
    </row>
    <row r="15" customFormat="false" ht="15" hidden="false" customHeight="false" outlineLevel="0" collapsed="false">
      <c r="A15" s="8" t="n">
        <v>8</v>
      </c>
      <c r="B15" s="34" t="n">
        <f aca="false">B14+7</f>
        <v>46314</v>
      </c>
      <c r="C15" s="17"/>
      <c r="D15" s="28" t="n">
        <f aca="false">(Assumptions!$B$4+Assumptions!$B$5+Assumptions!$B$6)/4.33</f>
        <v>2309.4688221709</v>
      </c>
      <c r="E15" s="18" t="n">
        <f aca="false">SUMIFS('8. 13-Week Pipeline'!$E$14:$E$25,'8. 13-Week Pipeline'!$F$14:$F$25,A15)</f>
        <v>0</v>
      </c>
      <c r="F15" s="18" t="n">
        <f aca="false">SUMIFS('8. 13-Week Pipeline'!$D$30:$D$39,'8. 13-Week Pipeline'!$F$30:$F$39,A15)</f>
        <v>0</v>
      </c>
      <c r="G15" s="18" t="n">
        <f aca="false">SUMIFS('8. 13-Week Pipeline'!$B$14:$B$25,'8. 13-Week Pipeline'!$F$14:$F$25,A15)+SUMIFS('8. 13-Week Pipeline'!$B$30:$B$39,'8. 13-Week Pipeline'!$F$30:$F$39,A15)</f>
        <v>0</v>
      </c>
      <c r="H15" s="18" t="n">
        <f aca="false">H14+C15-D15</f>
        <v>23524.2494226328</v>
      </c>
      <c r="I15" s="18" t="n">
        <f aca="false">I14+C15-D15+E15+F15</f>
        <v>33724.2494226328</v>
      </c>
      <c r="J15" s="18" t="n">
        <f aca="false">J14+C15-D15+G15</f>
        <v>45524.2494226328</v>
      </c>
    </row>
    <row r="16" customFormat="false" ht="15" hidden="false" customHeight="false" outlineLevel="0" collapsed="false">
      <c r="A16" s="8" t="n">
        <v>9</v>
      </c>
      <c r="B16" s="34" t="n">
        <f aca="false">B15+7</f>
        <v>46321</v>
      </c>
      <c r="C16" s="17"/>
      <c r="D16" s="28" t="n">
        <f aca="false">(Assumptions!$B$4+Assumptions!$B$5+Assumptions!$B$6)/4.33</f>
        <v>2309.4688221709</v>
      </c>
      <c r="E16" s="18" t="n">
        <f aca="false">SUMIFS('8. 13-Week Pipeline'!$E$14:$E$25,'8. 13-Week Pipeline'!$F$14:$F$25,A16)</f>
        <v>0</v>
      </c>
      <c r="F16" s="18" t="n">
        <f aca="false">SUMIFS('8. 13-Week Pipeline'!$D$30:$D$39,'8. 13-Week Pipeline'!$F$30:$F$39,A16)</f>
        <v>0</v>
      </c>
      <c r="G16" s="18" t="n">
        <f aca="false">SUMIFS('8. 13-Week Pipeline'!$B$14:$B$25,'8. 13-Week Pipeline'!$F$14:$F$25,A16)+SUMIFS('8. 13-Week Pipeline'!$B$30:$B$39,'8. 13-Week Pipeline'!$F$30:$F$39,A16)</f>
        <v>0</v>
      </c>
      <c r="H16" s="18" t="n">
        <f aca="false">H15+C16-D16</f>
        <v>21214.7806004619</v>
      </c>
      <c r="I16" s="18" t="n">
        <f aca="false">I15+C16-D16+E16+F16</f>
        <v>31414.7806004619</v>
      </c>
      <c r="J16" s="18" t="n">
        <f aca="false">J15+C16-D16+G16</f>
        <v>43214.7806004619</v>
      </c>
    </row>
    <row r="17" customFormat="false" ht="15" hidden="false" customHeight="false" outlineLevel="0" collapsed="false">
      <c r="A17" s="8" t="n">
        <v>10</v>
      </c>
      <c r="B17" s="34" t="n">
        <f aca="false">B16+7</f>
        <v>46328</v>
      </c>
      <c r="C17" s="17"/>
      <c r="D17" s="28" t="n">
        <f aca="false">(Assumptions!$B$4+Assumptions!$B$5+Assumptions!$B$6)/4.33</f>
        <v>2309.4688221709</v>
      </c>
      <c r="E17" s="18" t="n">
        <f aca="false">SUMIFS('8. 13-Week Pipeline'!$E$14:$E$25,'8. 13-Week Pipeline'!$F$14:$F$25,A17)</f>
        <v>0</v>
      </c>
      <c r="F17" s="18" t="n">
        <f aca="false">SUMIFS('8. 13-Week Pipeline'!$D$30:$D$39,'8. 13-Week Pipeline'!$F$30:$F$39,A17)</f>
        <v>0</v>
      </c>
      <c r="G17" s="18" t="n">
        <f aca="false">SUMIFS('8. 13-Week Pipeline'!$B$14:$B$25,'8. 13-Week Pipeline'!$F$14:$F$25,A17)+SUMIFS('8. 13-Week Pipeline'!$B$30:$B$39,'8. 13-Week Pipeline'!$F$30:$F$39,A17)</f>
        <v>0</v>
      </c>
      <c r="H17" s="18" t="n">
        <f aca="false">H16+C17-D17</f>
        <v>18905.311778291</v>
      </c>
      <c r="I17" s="18" t="n">
        <f aca="false">I16+C17-D17+E17+F17</f>
        <v>29105.311778291</v>
      </c>
      <c r="J17" s="18" t="n">
        <f aca="false">J16+C17-D17+G17</f>
        <v>40905.311778291</v>
      </c>
    </row>
    <row r="18" customFormat="false" ht="15" hidden="false" customHeight="false" outlineLevel="0" collapsed="false">
      <c r="A18" s="8" t="n">
        <v>11</v>
      </c>
      <c r="B18" s="34" t="n">
        <f aca="false">B17+7</f>
        <v>46335</v>
      </c>
      <c r="C18" s="17"/>
      <c r="D18" s="28" t="n">
        <f aca="false">(Assumptions!$B$4+Assumptions!$B$5+Assumptions!$B$6)/4.33</f>
        <v>2309.4688221709</v>
      </c>
      <c r="E18" s="18" t="n">
        <f aca="false">SUMIFS('8. 13-Week Pipeline'!$E$14:$E$25,'8. 13-Week Pipeline'!$F$14:$F$25,A18)</f>
        <v>0</v>
      </c>
      <c r="F18" s="18" t="n">
        <f aca="false">SUMIFS('8. 13-Week Pipeline'!$D$30:$D$39,'8. 13-Week Pipeline'!$F$30:$F$39,A18)</f>
        <v>0</v>
      </c>
      <c r="G18" s="18" t="n">
        <f aca="false">SUMIFS('8. 13-Week Pipeline'!$B$14:$B$25,'8. 13-Week Pipeline'!$F$14:$F$25,A18)+SUMIFS('8. 13-Week Pipeline'!$B$30:$B$39,'8. 13-Week Pipeline'!$F$30:$F$39,A18)</f>
        <v>0</v>
      </c>
      <c r="H18" s="18" t="n">
        <f aca="false">H17+C18-D18</f>
        <v>16595.8429561201</v>
      </c>
      <c r="I18" s="18" t="n">
        <f aca="false">I17+C18-D18+E18+F18</f>
        <v>26795.8429561201</v>
      </c>
      <c r="J18" s="18" t="n">
        <f aca="false">J17+C18-D18+G18</f>
        <v>38595.8429561201</v>
      </c>
    </row>
    <row r="19" customFormat="false" ht="15" hidden="false" customHeight="false" outlineLevel="0" collapsed="false">
      <c r="A19" s="8" t="n">
        <v>12</v>
      </c>
      <c r="B19" s="34" t="n">
        <f aca="false">B18+7</f>
        <v>46342</v>
      </c>
      <c r="C19" s="17"/>
      <c r="D19" s="28" t="n">
        <f aca="false">(Assumptions!$B$4+Assumptions!$B$5+Assumptions!$B$6)/4.33</f>
        <v>2309.4688221709</v>
      </c>
      <c r="E19" s="18" t="n">
        <f aca="false">SUMIFS('8. 13-Week Pipeline'!$E$14:$E$25,'8. 13-Week Pipeline'!$F$14:$F$25,A19)</f>
        <v>0</v>
      </c>
      <c r="F19" s="18" t="n">
        <f aca="false">SUMIFS('8. 13-Week Pipeline'!$D$30:$D$39,'8. 13-Week Pipeline'!$F$30:$F$39,A19)</f>
        <v>0</v>
      </c>
      <c r="G19" s="18" t="n">
        <f aca="false">SUMIFS('8. 13-Week Pipeline'!$B$14:$B$25,'8. 13-Week Pipeline'!$F$14:$F$25,A19)+SUMIFS('8. 13-Week Pipeline'!$B$30:$B$39,'8. 13-Week Pipeline'!$F$30:$F$39,A19)</f>
        <v>0</v>
      </c>
      <c r="H19" s="18" t="n">
        <f aca="false">H18+C19-D19</f>
        <v>14286.3741339492</v>
      </c>
      <c r="I19" s="18" t="n">
        <f aca="false">I18+C19-D19+E19+F19</f>
        <v>24486.3741339492</v>
      </c>
      <c r="J19" s="18" t="n">
        <f aca="false">J18+C19-D19+G19</f>
        <v>36286.3741339492</v>
      </c>
    </row>
    <row r="20" customFormat="false" ht="15" hidden="false" customHeight="false" outlineLevel="0" collapsed="false">
      <c r="A20" s="8" t="n">
        <v>13</v>
      </c>
      <c r="B20" s="34" t="n">
        <f aca="false">B19+7</f>
        <v>46349</v>
      </c>
      <c r="C20" s="17"/>
      <c r="D20" s="28" t="n">
        <f aca="false">(Assumptions!$B$4+Assumptions!$B$5+Assumptions!$B$6)/4.33</f>
        <v>2309.4688221709</v>
      </c>
      <c r="E20" s="18" t="n">
        <f aca="false">SUMIFS('8. 13-Week Pipeline'!$E$14:$E$25,'8. 13-Week Pipeline'!$F$14:$F$25,A20)</f>
        <v>0</v>
      </c>
      <c r="F20" s="18" t="n">
        <f aca="false">SUMIFS('8. 13-Week Pipeline'!$D$30:$D$39,'8. 13-Week Pipeline'!$F$30:$F$39,A20)</f>
        <v>0</v>
      </c>
      <c r="G20" s="18" t="n">
        <f aca="false">SUMIFS('8. 13-Week Pipeline'!$B$14:$B$25,'8. 13-Week Pipeline'!$F$14:$F$25,A20)+SUMIFS('8. 13-Week Pipeline'!$B$30:$B$39,'8. 13-Week Pipeline'!$F$30:$F$39,A20)</f>
        <v>0</v>
      </c>
      <c r="H20" s="18" t="n">
        <f aca="false">H19+C20-D20</f>
        <v>11976.9053117783</v>
      </c>
      <c r="I20" s="18" t="n">
        <f aca="false">I19+C20-D20+E20+F20</f>
        <v>22176.9053117783</v>
      </c>
      <c r="J20" s="18" t="n">
        <f aca="false">J19+C20-D20+G20</f>
        <v>33976.9053117783</v>
      </c>
    </row>
    <row r="23" customFormat="false" ht="15" hidden="false" customHeight="true" outlineLevel="0" collapsed="false">
      <c r="A23" s="29" t="s">
        <v>151</v>
      </c>
      <c r="B23" s="35" t="s">
        <v>152</v>
      </c>
      <c r="C23" s="35"/>
      <c r="D23" s="35"/>
      <c r="E23" s="35"/>
      <c r="F23" s="35"/>
      <c r="G23" s="35"/>
      <c r="H23" s="35"/>
      <c r="I23" s="35"/>
      <c r="J23" s="35"/>
    </row>
  </sheetData>
  <mergeCells count="3">
    <mergeCell ref="A1:J1"/>
    <mergeCell ref="A4:B4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2026-08-31T09:19:00Z</dcterms:created>
  <dc:creator>openpyxl</dc:creator>
  <dc:description/>
  <dc:language>en-US</dc:language>
  <cp:lastModifiedBy/>
  <dcterms:modified xsi:type="dcterms:W3CDTF">2026-08-31T09:19:00Z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